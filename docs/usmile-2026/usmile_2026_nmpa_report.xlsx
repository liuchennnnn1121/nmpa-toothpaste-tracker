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liuaiwei/Downloads/AI/Codex/国产牙膏备案信息爬取/outputs/usmile_2026_nmpa_20260806/"/>
    </mc:Choice>
  </mc:AlternateContent>
  <xr:revisionPtr revIDLastSave="0" documentId="13_ncr:1_{B93310EE-E415-0647-AF8A-5B8E226A1617}" xr6:coauthVersionLast="47" xr6:coauthVersionMax="47" xr10:uidLastSave="{00000000-0000-0000-0000-000000000000}"/>
  <bookViews>
    <workbookView xWindow="0" yWindow="680" windowWidth="34200" windowHeight="19760" xr2:uid="{00000000-000D-0000-FFFF-FFFF00000000}"/>
  </bookViews>
  <sheets>
    <sheet name="摘要趋势" sheetId="1" r:id="rId1"/>
    <sheet name="产品备案明细" sheetId="2" r:id="rId2"/>
    <sheet name="加工厂汇总" sheetId="3" r:id="rId3"/>
    <sheet name="包装链接" sheetId="4" r:id="rId4"/>
    <sheet name="说明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17" i="1"/>
  <c r="B16" i="1"/>
  <c r="B15" i="1"/>
  <c r="B14" i="1"/>
  <c r="B13" i="1"/>
  <c r="B12" i="1"/>
  <c r="B11" i="1"/>
  <c r="B4" i="1" l="1"/>
</calcChain>
</file>

<file path=xl/sharedStrings.xml><?xml version="1.0" encoding="utf-8"?>
<sst xmlns="http://schemas.openxmlformats.org/spreadsheetml/2006/main" count="658" uniqueCount="305">
  <si>
    <t>usmile / 笑容加 2026 国产牙膏备案报告</t>
  </si>
  <si>
    <t>数据来源：国家药品监督管理局数据查询 - 国产牙膏备案信息；抓取时间：2026-08-06T10:33:10+08:00；统计口径：按备案编号去重，截至 2026-08-06。</t>
  </si>
  <si>
    <t>唯一备案号数</t>
  </si>
  <si>
    <t>加工厂 Top 3</t>
  </si>
  <si>
    <t>涉及加工厂数</t>
  </si>
  <si>
    <t>加工厂</t>
  </si>
  <si>
    <t>备案产品数</t>
  </si>
  <si>
    <t>生产许可证</t>
  </si>
  <si>
    <t>生产地址</t>
  </si>
  <si>
    <t>备注</t>
  </si>
  <si>
    <t>包装附件链接数</t>
  </si>
  <si>
    <t>广东九科口腔用品有限公司</t>
  </si>
  <si>
    <t>粤妆20250189</t>
  </si>
  <si>
    <t>清远市清城区石角镇广州（清远）产业转移工业园兴园路1号2栋、4栋3层、5层；清远市清城区石角镇广州（清远）产业转移工业园路1号2栋、4栋3层、5层</t>
  </si>
  <si>
    <t>产品有多加工厂时会分别计入各加工厂</t>
  </si>
  <si>
    <t>生产企业未返回</t>
  </si>
  <si>
    <t>赛维泰（广州）健康药业有限公司</t>
  </si>
  <si>
    <t>粤妆 20210150</t>
  </si>
  <si>
    <t>广州市花都区繁花路9号自编2栋1-3楼、1栋1楼A区</t>
  </si>
  <si>
    <t>广东省九科生物科技有限公司</t>
  </si>
  <si>
    <t>粤妆20210095</t>
  </si>
  <si>
    <t>佛山三水工业园区大塘园兴唐路13号之二F3二层、三层</t>
  </si>
  <si>
    <t>月份</t>
  </si>
  <si>
    <t>备案数量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</si>
  <si>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</si>
  <si>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</si>
  <si>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</si>
  <si>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</si>
  <si>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</si>
  <si>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</si>
  <si>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</si>
  <si>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</si>
  <si>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来源 URL：https://www.nmpa.gov.cn/datasearch/home-index.html#category=hzp</t>
  </si>
  <si>
    <t>方法：以 usmile 与 笑容加 两个关键词检索，按备案编号去重；同一备案编号多主键时选择详情/成分/包装信息更完整的记录。</t>
  </si>
  <si>
    <t>加工厂统计：加工厂维度按生产企业字段中带生产地址或生产许可证的企业统计；无生产企业详情的产品归为未公示/详情为空。</t>
  </si>
  <si>
    <t>备案日期</t>
  </si>
  <si>
    <t>产品名称</t>
  </si>
  <si>
    <t>备案编号</t>
  </si>
  <si>
    <t>备案人</t>
  </si>
  <si>
    <t>0.1%以上成分</t>
  </si>
  <si>
    <t>其他微量成分</t>
  </si>
  <si>
    <t>保质期</t>
  </si>
  <si>
    <t>功效宣称</t>
  </si>
  <si>
    <t>包装附件数</t>
  </si>
  <si>
    <t>包装类别</t>
  </si>
  <si>
    <t>包装预览链接</t>
  </si>
  <si>
    <t>本地包装图片</t>
  </si>
  <si>
    <t>官方详情页</t>
  </si>
  <si>
    <t>数据备注</t>
  </si>
  <si>
    <t>usmile笑容加焕白清新牙膏（冷萃葡萄）焕新版</t>
  </si>
  <si>
    <t>粤国牙膏网备字2026003196</t>
  </si>
  <si>
    <t>广州华视光学科技有限公司</t>
  </si>
  <si>
    <t>未公示/详情为空</t>
  </si>
  <si>
    <t>山梨（糖）醇、水、水合硅石、聚乙二醇-8、丙二醇、甘油、月桂醇硫酸酯钠、香精、六偏磷酸钠、单氟磷酸钠（0.11%，以氟计）、三聚磷酸五钠、皱波角叉菜（CHONDRUS CRISPUS）、苯甲酸钠、甘露糖醇、月桂酰肌氨酸钠、甘氨酸锌、三氯半乳糖</t>
  </si>
  <si>
    <t>苹果（MALUS DOMESTICA）果提取物、木瓜蛋白酶、溶菌酶、微晶纤维素、玉米（ZEA MAYS）淀粉、羟丙基甲基纤维素、黄原胶、聚山梨醇酯-80、辛甘醇、云母、CI 77891、CI 73360、CI 17200、CI 74160</t>
  </si>
  <si>
    <t>三年；生产批号和限期使用日期：见包装</t>
  </si>
  <si>
    <t>说明书；产品包装平面图；产品立体平面图</t>
  </si>
  <si>
    <t>https://hzpba.nmpa.gov.cn/HZPBZCX/PTHZPBA-SERVER/nmpafile/gsxxFilePreview?attachmentId=1524803816536481792；https://hzpba.nmpa.gov.cn/HZPBZCX/PTHZPBA-SERVER/nmpafile/gsxxFilePreview?attachmentId=1524803420619350016；https://hzpba.nmpa.gov.cn/HZPBZCX/PTHZPBA-SERVER/nmpafile/gsxxFilePreview?attachmentId=1524803255216971776</t>
  </si>
  <si>
    <t>package_images/2026-07/笑容加/粤国牙膏网备字2026003196/package_capture_01.png；package_images/2026-07/笑容加/粤国牙膏网备字2026003196/package_capture_02.png；package_images/2026-07/笑容加/粤国牙膏网备字2026003196/package_capture_03.png</t>
  </si>
  <si>
    <t>https://www.nmpa.gov.cn/datasearch/search-info.html?nmpa=aWQ9MTUyNDAxOTIyMjc3NzM4NDk2MCZpdGVtSWQ9ZmY4MDgwODE4ZTYzYzkwMDAxOGU3ODdiYzQ4ZDA1OTg=</t>
  </si>
  <si>
    <t>生产企业字段未返回</t>
  </si>
  <si>
    <t>usmile笑容加焕白清新牙膏（山野脆苹）焕新版</t>
  </si>
  <si>
    <t>粤国牙膏网备字2026002742</t>
  </si>
  <si>
    <t>清远市清城区石角镇广州（清远）产业转移工业园兴园路1号（一址多照）</t>
  </si>
  <si>
    <t>山梨（糖）醇、水、水合硅石、聚乙二醇-8、甘油、丙二醇、月桂醇硫酸酯钠、香精、六偏磷酸钠、单氟磷酸钠（0.11%，以氟计）、三聚磷酸五钠、皱波角叉菜（CHONDRUS CRISPUS）、苯甲酸钠、甘露糖醇、甘氨酸锌、月桂酰肌氨酸钠、三氯半乳糖</t>
  </si>
  <si>
    <t>苹果（MALUS DOMESTICA）果提取物、木瓜蛋白酶、溶菌酶、微晶纤维素、玉米（ZEA MAYS）淀粉、羟丙基甲基纤维素、黄原胶、云母、CI 77891、CI 77492、CI 74260、CI 16035</t>
  </si>
  <si>
    <t>https://www.nmpa.gov.cn/datasearch/search-info.html?nmpa=aWQ9MTUyMTYyNTM2NjMxNjE4NzY0OCZpdGVtSWQ9ZmY4MDgwODE4ZTYzYzkwMDAxOGU3ODdiYzQ4ZDA1OTg=</t>
  </si>
  <si>
    <t>包装子表未返回</t>
  </si>
  <si>
    <t>usmile笑容加修护防蛀儿童牙膏（沁甜草莓）</t>
  </si>
  <si>
    <t>粤国牙膏网备字2026001949</t>
  </si>
  <si>
    <t>甘油、焦磷酸钙、水合硅石、硅酸钙、丙二醇、磷硅酸钙、聚乙二醇-8、羟乙基纤维素、食用香精（料）、单氟磷酸钠（0.1%,以氟计）、硅石、聚乙烯呲咯烷酮、月桂酰肌氨酸钠、糖脂、甘油磷酸钙、甲基椰油酰基牛磺酸钠</t>
  </si>
  <si>
    <t>三氯半乳糖、CI 12490</t>
  </si>
  <si>
    <t>2.5年</t>
  </si>
  <si>
    <t>防龋, 清洁；防龋, 清洁；防龋, 清洁；防龋, 清洁</t>
  </si>
  <si>
    <t>产品包装平面图；说明书；产品立体平面图</t>
  </si>
  <si>
    <t>https://hzpba.nmpa.gov.cn/HZPBZCX/PTHZPBA-SERVER/nmpafile/gsxxFilePreview?attachmentId=1504513500164202496；https://hzpba.nmpa.gov.cn/HZPBZCX/PTHZPBA-SERVER/nmpafile/gsxxFilePreview?attachmentId=1499374189341122560；https://hzpba.nmpa.gov.cn/HZPBZCX/PTHZPBA-SERVER/nmpafile/gsxxFilePreview?attachmentId=1504513568367779840</t>
  </si>
  <si>
    <t>https://www.nmpa.gov.cn/datasearch/search-info.html?nmpa=aWQ9MTQ5ODY0MzUyNzU3MDUxODAxNiZpdGVtSWQ9ZmY4MDgwODE4ZTYzYzkwMDAxOGU3ODdiYzQ4ZDA1OTg=</t>
  </si>
  <si>
    <t>usmile笑容加净齿抗糖酸儿童牙膏（多汁草莓）</t>
  </si>
  <si>
    <t>粤国牙膏网备字2026001605</t>
  </si>
  <si>
    <t>广州市花都区镜湖大道60号1栋、2栋、3栋</t>
  </si>
  <si>
    <t>山梨（糖）醇、水、水合硅石、木糖醇、聚乙二醇-8、丙二醇、食用香精（料）、单氟磷酸钠、羟乙基纤维素、焦磷酸四钠、月桂酰肌氨酸钠、纤维素胶、甘露糖醇、皱波角叉菜（CHONDRUS CRISPUS）、糖脂</t>
  </si>
  <si>
    <t>奥拉氟、木瓜蛋白酶、溶菌酶、葡聚糖酶、草莓（FRAGARIA CHILOENSIS）果提取物、玉米（ZEA MAYS）淀粉、微晶纤维素、羟丙基甲基纤维素、硼硅酸铝钙、硅石、丁二醇、氧化锡、CI 77891、CI 77491、CI 16035、CI 19140</t>
  </si>
  <si>
    <t>三年;生产批号和限期使用日期：见包装</t>
  </si>
  <si>
    <t>产品包装平面图；产品立体平面图；说明书</t>
  </si>
  <si>
    <t>https://hzpba.nmpa.gov.cn/HZPBZCX/PTHZPBA-SERVER/nmpafile/gsxxFilePreview?attachmentId=1503805846752141312；https://hzpba.nmpa.gov.cn/HZPBZCX/PTHZPBA-SERVER/nmpafile/gsxxFilePreview?attachmentId=1494763705820323840；https://hzpba.nmpa.gov.cn/HZPBZCX/PTHZPBA-SERVER/nmpafile/gsxxFilePreview?attachmentId=1494774080112500736；https://hzpba.nmpa.gov.cn/HZPBZCX/PTHZPBA-SERVER/nmpafile/gsxxFilePreview?attachmentId=1494763528749391872；https://hzpba.nmpa.gov.cn/HZPBZCX/PTHZPBA-SERVER/nmpafile/gsxxFilePreview?attachmentId=1503807741252149248</t>
  </si>
  <si>
    <t>https://www.nmpa.gov.cn/datasearch/search-info.html?nmpa=aWQ9MTQ5NDc0MzQ4MTE0MTI0ODAwMCZpdGVtSWQ9ZmY4MDgwODE4ZTYzYzkwMDAxOGU3ODdiYzQ4ZDA1OTg=</t>
  </si>
  <si>
    <t>usmile笑容加焕白清新牙膏（雪浸山茶）焕彩版</t>
  </si>
  <si>
    <t>粤国牙膏网备字2026001485</t>
  </si>
  <si>
    <t>赛维泰（广州）健康药业有限公司；广东省九科生物科技有限公司</t>
  </si>
  <si>
    <t>粤妆 20210150；粤妆20210095</t>
  </si>
  <si>
    <t>山梨（糖）醇、水、水合硅石、聚乙二醇-8、甘油、丙二醇、月桂醇硫酸酯钠、食用香精（料）、六偏磷酸钠、单氟磷酸钠（0.11%，以氟计）、三聚磷酸五钠、皱波角叉菜（CHONDRUS CRISPUS）、苯甲酸钠、甘露糖醇、甘氨酸锌、月桂酰肌氨酸钠、三氯半乳糖</t>
  </si>
  <si>
    <t>葡聚糖酶、溶菌酶、苹果（MALUS DOMESTICA）果提取物、山茶（CAMELLIA JAPONICA）花提取物、黄原胶、微晶纤维素、玉米（ZEA MAYS）淀粉、羟丙基甲基纤维素、云母、CI 77891、CI 77492、CI 73360、CI 16035</t>
  </si>
  <si>
    <t>三年</t>
  </si>
  <si>
    <t>防龋, 清洁；防龋, 清洁；防龋, 清洁</t>
  </si>
  <si>
    <t>产品立体平面图；产品包装平面图；说明书</t>
  </si>
  <si>
    <t>https://hzpba.nmpa.gov.cn/HZPBZCX/PTHZPBA-SERVER/nmpafile/gsxxFilePreview?attachmentId=1498379755292008448；https://hzpba.nmpa.gov.cn/HZPBZCX/PTHZPBA-SERVER/nmpafile/gsxxFilePreview?attachmentId=1498379728410714112；https://hzpba.nmpa.gov.cn/HZPBZCX/PTHZPBA-SERVER/nmpafile/gsxxFilePreview?attachmentId=1498373376090046464</t>
  </si>
  <si>
    <t>https://www.nmpa.gov.cn/datasearch/search-info.html?nmpa=aWQ9MTQ5ODM3MzM2NTQ1MzUwODYwOCZpdGVtSWQ9ZmY4MDgwODE4ZTYzYzkwMDAxOGU3ODdiYzQ4ZDA1OTg=</t>
  </si>
  <si>
    <t>usmile笑容加光氧美白牙膏（极光依兰）焕新版</t>
  </si>
  <si>
    <t>粤国牙膏网备字2026001696</t>
  </si>
  <si>
    <t>广东九科口腔用品有限公司；赛维泰（广州）健康药业有限公司</t>
  </si>
  <si>
    <t>粤妆20250189；粤妆 20210150</t>
  </si>
  <si>
    <t>山梨（糖）醇、水、水合硅石、丙二醇、聚乙二醇-8、月桂醇硫酸酯钠、食用香精（料）、单氟磷酸钠（0.11%，以氟计）、六偏磷酸钠、皱波角叉菜（CHONDRUS CRISPUS）、焦磷酸二氢二钠、黄原胶、三氯半乳糖</t>
  </si>
  <si>
    <t>葡糖氧化酶、葡聚糖酶、聚赖氨酸、抗坏血酸（维生素C）、硅石、结冷胶、甘油、山梨酸钾、硼硅酸铝钙、氧化锡、聚山梨醇酯-80、苯氧乙醇、辛甘醇、CI 77891、CI 74160、CI 17200</t>
  </si>
  <si>
    <t>防龋, 清洁；防龋, 清洁</t>
  </si>
  <si>
    <t>https://hzpba.nmpa.gov.cn/HZPBZCX/PTHZPBA-SERVER/nmpafile/gsxxFilePreview?attachmentId=1507441623410147328；https://hzpba.nmpa.gov.cn/HZPBZCX/PTHZPBA-SERVER/nmpafile/gsxxFilePreview?attachmentId=1507443590749560832；https://hzpba.nmpa.gov.cn/HZPBZCX/PTHZPBA-SERVER/nmpafile/gsxxFilePreview?attachmentId=1507441623552753664</t>
  </si>
  <si>
    <t>https://www.nmpa.gov.cn/datasearch/search-info.html?nmpa=aWQ9MTUwNzQ0MTYxNjI0Njc2MzUyMCZpdGVtSWQ9ZmY4MDgwODE4ZTYzYzkwMDAxOGU3ODdiYzQ4ZDA1OTg=</t>
  </si>
  <si>
    <t>usmile笑容加光氧美白牙膏（乌木玫瑰）焕新版</t>
  </si>
  <si>
    <t>粤国牙膏网备字2026001692</t>
  </si>
  <si>
    <t>赛维泰（广州）健康药业有限公司；广东九科口腔用品有限公司</t>
  </si>
  <si>
    <t>粤妆 20210150；粤妆20250189</t>
  </si>
  <si>
    <t>山梨（糖）醇、水、水合硅石、聚乙二醇-8、丙二醇、月桂醇硫酸酯钠、食用香精（料）、单氟磷酸钠（0.11%，以氟计）、六偏磷酸钠、皱波角叉菜（CHONDRUS CRISPUS）、焦磷酸二氢二钠、黄原胶、三氯半乳糖</t>
  </si>
  <si>
    <t>葡糖氧化酶、葡聚糖酶、聚赖氨酸、抗坏血酸（维生素C）、硅石、结冷胶、甘油、山梨酸钾、硼硅酸铝钙、氧化锡、CI 77891、CI 16035、CI 19140</t>
  </si>
  <si>
    <t>产品立体平面图；说明书；产品包装平面图</t>
  </si>
  <si>
    <t>https://hzpba.nmpa.gov.cn/HZPBZCX/PTHZPBA-SERVER/nmpafile/gsxxFilePreview?attachmentId=1494029306866769920；https://hzpba.nmpa.gov.cn/HZPBZCX/PTHZPBA-SERVER/nmpafile/gsxxFilePreview?attachmentId=1494016840053104640；https://hzpba.nmpa.gov.cn/HZPBZCX/PTHZPBA-SERVER/nmpafile/gsxxFilePreview?attachmentId=1494016562893496320</t>
  </si>
  <si>
    <t>https://www.nmpa.gov.cn/datasearch/search-info.html?nmpa=aWQ9MTQ5MzYyMDQ5OTE2MTUwMTY5NiZpdGVtSWQ9ZmY4MDgwODE4ZTYzYzkwMDAxOGU3ODdiYzQ4ZDA1OTg=</t>
  </si>
  <si>
    <t>usmile笑容加焕白清新牙膏（云上葡萄）焕彩版</t>
  </si>
  <si>
    <t>粤国牙膏网备字2026001484</t>
  </si>
  <si>
    <t>https://www.nmpa.gov.cn/datasearch/search-info.html?nmpa=aWQ9MTUwMjM5NzE0NjcyMzI1NDI3MiZpdGVtSWQ9ZmY4MDgwODE4ZTYzYzkwMDAxOGU3ODdiYzQ4ZDA1OTg=</t>
  </si>
  <si>
    <t>全成分子表未返回；包装子表未返回</t>
  </si>
  <si>
    <t>usmile笑容加双管美白精华牙膏（月下铃兰）</t>
  </si>
  <si>
    <t>粤国牙膏网备字2026001572</t>
  </si>
  <si>
    <t>1,3-丙二醇、水合硅石、焦磷酸钙、糖脂、单过硫酸氢钾复合盐、焦磷酸四钠、聚乙烯吡咯烷酮、羟乙基纤维素、月桂醇硫酸酯钠、香精、硅石、糖精钠、过二硫酸钾、硫酸氢钾</t>
  </si>
  <si>
    <t>碳酸镁</t>
  </si>
  <si>
    <t>2.5年；生产批号和限期使用日期：见包装</t>
  </si>
  <si>
    <t>https://hzpba.nmpa.gov.cn/HZPBZCX/PTHZPBA-SERVER/nmpafile/gsxxFilePreview?attachmentId=1489684073802702848；https://hzpba.nmpa.gov.cn/HZPBZCX/PTHZPBA-SERVER/nmpafile/gsxxFilePreview?attachmentId=1489683993934766080；https://hzpba.nmpa.gov.cn/HZPBZCX/PTHZPBA-SERVER/nmpafile/gsxxFilePreview?attachmentId=1489682678957547520</t>
  </si>
  <si>
    <t>https://www.nmpa.gov.cn/datasearch/search-info.html?nmpa=aWQ9MTQ4OTYyMjE0MjcyMjQ2OTg4OCZpdGVtSWQ9ZmY4MDgwODE4ZTYzYzkwMDAxOGU3ODdiYzQ4ZDA1OTg=</t>
  </si>
  <si>
    <t>usmile笑容加抗敏修白牙膏（白花柚香）</t>
  </si>
  <si>
    <t>粤国牙膏网备字2026001571</t>
  </si>
  <si>
    <t>广东省九科生物科技有限公司；广东九科口腔用品有限公司</t>
  </si>
  <si>
    <t>粤妆20210095；粤妆20250189</t>
  </si>
  <si>
    <t>山梨（糖）醇、水、水合硅石、硝酸钾、聚乙二醇-8、月桂醇硫酸酯钠、甘油、单氟磷酸钠（0.145%，以氟计）、食用香精（料）、聚乙烯吡咯烷酮、羟基磷灰石、羟乙基纤维素、焦磷酸四钠、纤维素胶、植酸钠、月桂酰肌氨酸钠、糖精钠、CI 77891</t>
  </si>
  <si>
    <t>CI 12490、CI 74160</t>
  </si>
  <si>
    <t>防龋, 抗牙本质敏感, 清洁；防龋, 抗牙本质敏感, 清洁</t>
  </si>
  <si>
    <t>说明书；产品立体平面图；产品包装平面图</t>
  </si>
  <si>
    <t>https://hzpba.nmpa.gov.cn/HZPBZCX/PTHZPBA-SERVER/nmpafile/gsxxFilePreview?attachmentId=1488606999633534976；https://hzpba.nmpa.gov.cn/HZPBZCX/PTHZPBA-SERVER/nmpafile/gsxxFilePreview?attachmentId=1488606909254672384；https://hzpba.nmpa.gov.cn/HZPBZCX/PTHZPBA-SERVER/nmpafile/gsxxFilePreview?attachmentId=1488606877772226560</t>
  </si>
  <si>
    <t>https://www.nmpa.gov.cn/datasearch/search-info.html?nmpa=aWQ9MTQ4ODU3NjcyMjE3NzA2MDg2NCZpdGVtSWQ9ZmY4MDgwODE4ZTYzYzkwMDAxOGU3ODdiYzQ4ZDA1OTg=</t>
  </si>
  <si>
    <t>usmile笑容加青少年美白防蛀牙膏（冰萃葡萄）</t>
  </si>
  <si>
    <t>粤国牙膏网备字2026000965</t>
  </si>
  <si>
    <t>山梨（糖）醇、水、水合硅石、聚乙二醇-8、焦磷酸钙、甘油、月桂醇硫酸酯钠、香精、单氟磷酸钠（0.11%，以氟计）、六偏磷酸钠、焦磷酸四钠、皱波角叉菜（CHONDRUS CRISPUS）、苯甲酸钠、糖脂、三氯半乳糖、炭粉、黄原胶、甘露糖醇</t>
  </si>
  <si>
    <t>木瓜蛋白酶、溶菌酶、葡聚糖酶、云母、乙基纤维素、硅石、羟丙基甲基纤维素、丁二醇、CI 17200、CI 42090</t>
  </si>
  <si>
    <t>防龋, 清洁；防龋, 清洁；防龋, 清洁；防龋, 清洁；防龋, 清洁；防龋, 清洁</t>
  </si>
  <si>
    <t>https://hzpba.nmpa.gov.cn/HZPBZCX/PTHZPBA-SERVER/nmpafile/gsxxFilePreview?attachmentId=1483871467884060672；https://hzpba.nmpa.gov.cn/HZPBZCX/PTHZPBA-SERVER/nmpafile/gsxxFilePreview?attachmentId=1483871419519541248；https://hzpba.nmpa.gov.cn/HZPBZCX/PTHZPBA-SERVER/nmpafile/gsxxFilePreview?attachmentId=1483865736875155456</t>
  </si>
  <si>
    <t>https://www.nmpa.gov.cn/datasearch/search-info.html?nmpa=aWQ9MTQ4MTU5NDAyNDkyOTQ4MDcwNCZpdGVtSWQ9ZmY4MDgwODE4ZTYzYzkwMDAxOGU3ODdiYzQ4ZDA1OTg=</t>
  </si>
  <si>
    <t>usmile笑容加防渍锁白牙膏（晨露桂雨）</t>
  </si>
  <si>
    <t>粤国牙膏网备字2026000830</t>
  </si>
  <si>
    <t>佛山市三水区大塘镇兴唐路20-1号1号厂房2F-1-2A、2F-1-2B、3F-1-3A（住所申报）</t>
  </si>
  <si>
    <t>水、山梨（糖）醇、水合硅石、聚乙二醇-8、月桂醇硫酸酯钠、食用香精（料）、焦磷酸二氢二钠、单氟磷酸钠（0.11%，以氟计）、纤维素胶、焦磷酸四钠、CI 77891、皱波角叉菜（CHONDRUS CRISPUS）、月桂酰肌氨酸钠、苯甲酸钠、糖精钠、聚乙烯吡咯烷酮</t>
  </si>
  <si>
    <t>https://hzpba.nmpa.gov.cn/HZPBZCX/PTHZPBA-SERVER/nmpafile/gsxxFilePreview?attachmentId=1486400891892342784；https://hzpba.nmpa.gov.cn/HZPBZCX/PTHZPBA-SERVER/nmpafile/gsxxFilePreview?attachmentId=1486400833922867200；https://hzpba.nmpa.gov.cn/HZPBZCX/PTHZPBA-SERVER/nmpafile/gsxxFilePreview?attachmentId=1482067669561712640</t>
  </si>
  <si>
    <t>https://www.nmpa.gov.cn/datasearch/search-info.html?nmpa=aWQ9MTQ4MDk5Njk3NTk3Njg2OTg4OCZpdGVtSWQ9ZmY4MDgwODE4ZTYzYzkwMDAxOGU3ODdiYzQ4ZDA1OTg=</t>
  </si>
  <si>
    <t>usmile笑容加专研清新牙膏（冰萃薄荷）</t>
  </si>
  <si>
    <t>粤国牙膏网备字2026000829</t>
  </si>
  <si>
    <t>碳酸钙、水、山梨（糖）醇、甘油、水合硅石、月桂醇硫酸酯钠、聚乙二醇-8、焦磷酸四钠、纤维素胶、香精、三聚磷酸五钠、黄原胶、薄荷醇、糖精钠、CI 77891、羟苯甲酯</t>
  </si>
  <si>
    <t>柑橘（CITRUS RETICULATA）果皮提取物、库拉索芦荟（ALOE BARBADENSIS）叶提取物、苦参（SOPHORA FLAVESCENS）根提取物、无患子（SAPINDUS MUKOROSSI）果皮提取物、地榆（SANGUISORBA OFFICINALIS）根提取物、葡聚糖酶、植酸钠、月桂酰肌氨酸钠、羟苯丙酯、CI 12490、CI 74160</t>
  </si>
  <si>
    <t>清洁</t>
  </si>
  <si>
    <t>https://hzpba.nmpa.gov.cn/HZPBZCX/PTHZPBA-SERVER/nmpafile/gsxxFilePreview?attachmentId=1484614083227492352；https://hzpba.nmpa.gov.cn/HZPBZCX/PTHZPBA-SERVER/nmpafile/gsxxFilePreview?attachmentId=1482068515536052224；https://hzpba.nmpa.gov.cn/HZPBZCX/PTHZPBA-SERVER/nmpafile/gsxxFilePreview?attachmentId=1482067109123006464</t>
  </si>
  <si>
    <t>https://www.nmpa.gov.cn/datasearch/search-info.html?nmpa=aWQ9MTQ4MDkzNDMyOTQwNzMyNDE2MCZpdGVtSWQ9ZmY4MDgwODE4ZTYzYzkwMDAxOGU3ODdiYzQ4ZDA1OTg=</t>
  </si>
  <si>
    <t>usmile笑容加美白双管牙膏（月下鸢尾）</t>
  </si>
  <si>
    <t>粤国牙膏网备字2026000740</t>
  </si>
  <si>
    <t>山梨（糖）醇、水、水合硅石、聚乙二醇-8、甘油、月桂醇硫酸酯钠、单氟磷酸钠（0.145%，以氟计）、香精、焦磷酸四钠、氯化钠、皱波角叉菜（CHONDRUS CRISPUS）、月桂酰肌氨酸钠、纤维素胶、红没药醇、三氯半乳糖</t>
  </si>
  <si>
    <t>CI 17200、CI 74160、丙二醇、聚山梨醇酯-80、苯氧乙醇、辛甘醇</t>
  </si>
  <si>
    <t>https://hzpba.nmpa.gov.cn/HZPBZCX/PTHZPBA-SERVER/nmpafile/gsxxFilePreview?attachmentId=1518646868022657024；https://hzpba.nmpa.gov.cn/HZPBZCX/PTHZPBA-SERVER/nmpafile/gsxxFilePreview?attachmentId=1518646867888439296；https://hzpba.nmpa.gov.cn/HZPBZCX/PTHZPBA-SERVER/nmpafile/gsxxFilePreview?attachmentId=1518646154073546752</t>
  </si>
  <si>
    <t>https://www.nmpa.gov.cn/datasearch/search-info.html?nmpa=aWQ9MTUxODY0Njg0ODU3Nzk0NTYwMCZpdGVtSWQ9ZmY4MDgwODE4ZTYzYzkwMDAxOGU3ODdiYzQ4ZDA1OTg=</t>
  </si>
  <si>
    <t>usmile笑容加深导修护牙膏（雪松薄荷）</t>
  </si>
  <si>
    <t>粤国牙膏网备字2026000828</t>
  </si>
  <si>
    <t>甘油、水合硅石、焦磷酸钙、硅酸钙、丙二醇、磷硅酸钙、羟基磷灰石、聚乙二醇-8、月桂醇硫酸酯钠、单氟磷酸钠、香精、羟乙基纤维素、硅石、月桂酰肌氨酸钠、CI 77891、PEG-40 氢化蓖麻油、三氯半乳糖</t>
  </si>
  <si>
    <t>胶原、聚乙烯吡咯烷酮、CI 12490、CI 74160</t>
  </si>
  <si>
    <t>生产批号和限期使用日期：见包装 2.5年</t>
  </si>
  <si>
    <t>防龋, 清洁；防龋, 清洁；防龋, 清洁；防龋, 清洁；防龋, 清洁；防龋, 清洁；防龋, 清洁；防龋, 清洁</t>
  </si>
  <si>
    <t>https://hzpba.nmpa.gov.cn/HZPBZCX/PTHZPBA-SERVER/nmpafile/gsxxFilePreview?attachmentId=1489687478734495744；https://hzpba.nmpa.gov.cn/HZPBZCX/PTHZPBA-SERVER/nmpafile/gsxxFilePreview?attachmentId=1489686983609491456；https://hzpba.nmpa.gov.cn/HZPBZCX/PTHZPBA-SERVER/nmpafile/gsxxFilePreview?attachmentId=1481336157778288640</t>
  </si>
  <si>
    <t>https://www.nmpa.gov.cn/datasearch/search-info.html?nmpa=aWQ9MTQ3MDQ2NDUwODE5ODg2Njk0NCZpdGVtSWQ9ZmY4MDgwODE4ZTYzYzkwMDAxOGU3ODdiYzQ4ZDA1OTg=</t>
  </si>
  <si>
    <t>usmile笑容加抗敏修白牙膏</t>
  </si>
  <si>
    <t>粤国牙膏网备字2026000915</t>
  </si>
  <si>
    <t>山梨（糖）醇、水、水合硅石、硝酸钾、聚乙二醇-8、月桂醇硫酸酯钠、甘油、单氟磷酸钠、食用香精（料）、羟基磷灰石、聚乙烯吡咯烷酮、羟乙基纤维素、焦磷酸四钠、纤维素胶、月桂酰肌氨酸钠、植酸钠、糖精钠、CI 77891</t>
  </si>
  <si>
    <t>防龋, 抗牙本质敏感, 清洁；防龋, 抗牙本质敏感, 清洁；防龋, 抗牙本质敏感, 清洁；防龋, 抗牙本质敏感, 清洁</t>
  </si>
  <si>
    <t>https://hzpba.nmpa.gov.cn/HZPBZCX/PTHZPBA-SERVER/nmpafile/gsxxFilePreview?attachmentId=1480991494869426176；https://hzpba.nmpa.gov.cn/HZPBZCX/PTHZPBA-SERVER/nmpafile/gsxxFilePreview?attachmentId=1480991328078733312；https://hzpba.nmpa.gov.cn/HZPBZCX/PTHZPBA-SERVER/nmpafile/gsxxFilePreview?attachmentId=1477352775415308288</t>
  </si>
  <si>
    <t>https://www.nmpa.gov.cn/datasearch/search-info.html?nmpa=aWQ9MTQ3NjYxODM2MTgwMTYyMTUwNCZpdGVtSWQ9ZmY4MDgwODE4ZTYzYzkwMDAxOGU3ODdiYzQ4ZDA1OTg=</t>
  </si>
  <si>
    <t>usmile笑容加色修美白牙膏</t>
  </si>
  <si>
    <t>粤国牙膏网备字2026000832</t>
  </si>
  <si>
    <t>山梨（糖）醇、水、水合硅石、聚乙二醇-8、甘油、丙二醇、月桂醇硫酸酯钠、香精、六偏磷酸钠、单氟磷酸钠（0.11%，以氟计）、三聚磷酸五钠、皱波角叉菜（CHONDRUS CRISPUS）、苯甲酸钠、甘氨酸锌、月桂酰肌氨酸钠、三氯半乳糖</t>
  </si>
  <si>
    <t>木瓜蛋白酶、溶菌酶、葡聚糖酶、炭粉、胭脂虫红、栀子（GARDENIA JASMINOIDES）果提取物、黄原胶、甘露糖醇、云母、乙基纤维素、硅石、羟丙基甲基纤维素、麦芽糊精、合成氟金云母、氧化铈</t>
  </si>
  <si>
    <t>https://hzpba.nmpa.gov.cn/HZPBZCX/PTHZPBA-SERVER/nmpafile/gsxxFilePreview?attachmentId=1476616576971120640；https://hzpba.nmpa.gov.cn/HZPBZCX/PTHZPBA-SERVER/nmpafile/gsxxFilePreview?attachmentId=1476616472092549120；https://hzpba.nmpa.gov.cn/HZPBZCX/PTHZPBA-SERVER/nmpafile/gsxxFilePreview?attachmentId=1476616447866249216</t>
  </si>
  <si>
    <t>https://www.nmpa.gov.cn/datasearch/search-info.html?nmpa=aWQ9MTQ3MDQ2NDcxOTQ3NDYxODM2OCZpdGVtSWQ9ZmY4MDgwODE4ZTYzYzkwMDAxOGU3ODdiYzQ4ZDA1OTg=</t>
  </si>
  <si>
    <t>usmile笑容加光氧美白牙膏（极光依兰）</t>
  </si>
  <si>
    <t>粤国牙膏网备字2026000539</t>
  </si>
  <si>
    <t>https://hzpba.nmpa.gov.cn/HZPBZCX/PTHZPBA-SERVER/nmpafile/gsxxFilePreview?attachmentId=1477346141213368320；https://hzpba.nmpa.gov.cn/HZPBZCX/PTHZPBA-SERVER/nmpafile/gsxxFilePreview?attachmentId=1477343881620168704；https://hzpba.nmpa.gov.cn/HZPBZCX/PTHZPBA-SERVER/nmpafile/gsxxFilePreview?attachmentId=1477343756457943040</t>
  </si>
  <si>
    <t>https://www.nmpa.gov.cn/datasearch/search-info.html?nmpa=aWQ9MTQ2Nzg5MTM1MjQwNTg5MzEyMCZpdGVtSWQ9ZmY4MDgwODE4ZTYzYzkwMDAxOGU3ODdiYzQ4ZDA1OTg=</t>
  </si>
  <si>
    <t>usmile笑容加双效香氛牙膏（赤霞橘光）</t>
  </si>
  <si>
    <t>粤国牙膏网备字2026000478</t>
  </si>
  <si>
    <t>山梨（糖）醇、水、水合硅石、聚乙二醇-8、甘油、丙二醇、月桂醇硫酸酯钠、食用香精（料）、六偏磷酸钠、单氟磷酸钠、三聚磷酸五钠、皱波角叉菜（CHONDRUS CRISPUS）、苯甲酸钠、甘露糖醇、甘氨酸锌、月桂酰肌氨酸钠、三氯半乳糖</t>
  </si>
  <si>
    <t>葡聚糖酶、溶菌酶、苹果（MALUS DOMESTICA）果提取物、山茶（CAMELLIA JAPONICA）花提取物、黄原胶、微晶纤维素、玉米（ZEA MAYS）淀粉、羟丙基甲基纤维素、云母、CI 77891、CI 73360、CI 15985</t>
  </si>
  <si>
    <t>https://hzpba.nmpa.gov.cn/HZPBZCX/PTHZPBA-SERVER/nmpafile/gsxxFilePreview?attachmentId=1489319273574768640；https://hzpba.nmpa.gov.cn/HZPBZCX/PTHZPBA-SERVER/nmpafile/gsxxFilePreview?attachmentId=1489319098588405760；https://hzpba.nmpa.gov.cn/HZPBZCX/PTHZPBA-SERVER/nmpafile/gsxxFilePreview?attachmentId=1489310258596675584</t>
  </si>
  <si>
    <t>https://www.nmpa.gov.cn/datasearch/search-info.html?nmpa=aWQ9MTQ4OTMxMDI1MjQwNjM3MDMwNCZpdGVtSWQ9ZmY4MDgwODE4ZTYzYzkwMDAxOGU3ODdiYzQ4ZDA1OTg=</t>
  </si>
  <si>
    <t>usmile笑容加双效香氛牙膏（晨露玫瑰）</t>
  </si>
  <si>
    <t>粤国牙膏网备字2026000477</t>
  </si>
  <si>
    <t>葡聚糖酶、溶菌酶、苹果（MALUS DOMESTICA）果提取物、山茶（CAMELLIA JAPONICA）花提取物、黄原胶、微晶纤维素、玉米（ZEA MAYS）淀粉、羟丙基甲基纤维素、云母、CI 77891、CI 73360、CI 17200</t>
  </si>
  <si>
    <t>https://hzpba.nmpa.gov.cn/HZPBZCX/PTHZPBA-SERVER/nmpafile/gsxxFilePreview?attachmentId=1489323721499942912；https://hzpba.nmpa.gov.cn/HZPBZCX/PTHZPBA-SERVER/nmpafile/gsxxFilePreview?attachmentId=1489323683054952448；https://hzpba.nmpa.gov.cn/HZPBZCX/PTHZPBA-SERVER/nmpafile/gsxxFilePreview?attachmentId=1489230857221701632</t>
  </si>
  <si>
    <t>https://www.nmpa.gov.cn/datasearch/search-info.html?nmpa=aWQ9MTQ4OTIzMDg0NTYxMjM1NTU4NCZpdGVtSWQ9ZmY4MDgwODE4ZTYzYzkwMDAxOGU3ODdiYzQ4ZDA1OTg=</t>
  </si>
  <si>
    <t>usmile笑容加光氧美白牙膏（乌木玫瑰）</t>
  </si>
  <si>
    <t>粤国牙膏网备字2026000538</t>
  </si>
  <si>
    <t>https://hzpba.nmpa.gov.cn/HZPBZCX/PTHZPBA-SERVER/nmpafile/gsxxFilePreview?attachmentId=1477348912868171776；https://hzpba.nmpa.gov.cn/HZPBZCX/PTHZPBA-SERVER/nmpafile/gsxxFilePreview?attachmentId=1477347843341623296；https://hzpba.nmpa.gov.cn/HZPBZCX/PTHZPBA-SERVER/nmpafile/gsxxFilePreview?attachmentId=1477347077356855296</t>
  </si>
  <si>
    <t>https://www.nmpa.gov.cn/datasearch/search-info.html?nmpa=aWQ9MTQ2NTc2MDY3OTkyNjUxMzY2NCZpdGVtSWQ9ZmY4MDgwODE4ZTYzYzkwMDAxOGU3ODdiYzQ4ZDA1OTg=</t>
  </si>
  <si>
    <t>usmile笑容加牙龈护牙膏（金柚橙花）</t>
  </si>
  <si>
    <t>粤国牙膏网备字2026000302</t>
  </si>
  <si>
    <t>山梨（糖）醇、水、水合硅石、焦磷酸钙、聚乙二醇-8、甘油、库拉索芦荟（ALOE BARBADENSIS）叶汁、月桂酰肌氨酸钠、单氟磷酸钠、椰油酰谷氨酸二钠、甘草酸二钾、丁香（SYZYGIUM AROMATICUM）油、焦磷酸四钠、薄荷脑、黄原胶、皱波角叉菜（CHONDRUS CRISPUS）、苯甲酸钠、CI 77891、三氯半乳糖</t>
  </si>
  <si>
    <t>精氨酸、香柠檬（CITRUS AURANTIUM BERGAMIA）果油、PVM/MA 共聚物、脱乙酰壳多糖、卵磷脂</t>
  </si>
  <si>
    <t>防龋, 抑牙菌斑, 减轻牙龈问题, 清洁；防龋, 抑牙菌斑, 减轻牙龈问题, 清洁</t>
  </si>
  <si>
    <t>https://hzpba.nmpa.gov.cn/HZPBZCX/PTHZPBA-SERVER/nmpafile/gsxxFilePreview?attachmentId=1465675040724951040；https://hzpba.nmpa.gov.cn/HZPBZCX/PTHZPBA-SERVER/nmpafile/gsxxFilePreview?attachmentId=1465674956151005184；https://hzpba.nmpa.gov.cn/HZPBZCX/PTHZPBA-SERVER/nmpafile/gsxxFilePreview?attachmentId=1465674896822575104</t>
  </si>
  <si>
    <t>https://www.nmpa.gov.cn/datasearch/search-info.html?nmpa=aWQ9MTQ1ODUxNTg1MDQ2MTI3NDExMiZpdGVtSWQ9ZmY4MDgwODE4ZTYzYzkwMDAxOGU3ODdiYzQ4ZDA1OTg=</t>
  </si>
  <si>
    <t>usmile笑容加冷光修白牙膏（冷萃葡萄）</t>
  </si>
  <si>
    <t>粤国牙膏网备字2026000123</t>
  </si>
  <si>
    <t>https://hzpba.nmpa.gov.cn/HZPBZCX/PTHZPBA-SERVER/nmpafile/gsxxFilePreview?attachmentId=1465406110546599936；https://hzpba.nmpa.gov.cn/HZPBZCX/PTHZPBA-SERVER/nmpafile/gsxxFilePreview?attachmentId=1465405647830982656；https://hzpba.nmpa.gov.cn/HZPBZCX/PTHZPBA-SERVER/nmpafile/gsxxFilePreview?attachmentId=1464222929804853248</t>
  </si>
  <si>
    <t>https://www.nmpa.gov.cn/datasearch/search-info.html?nmpa=aWQ9MTQ2NDIyMjkyMjQzMTQ4MzkwNCZpdGVtSWQ9ZmY4MDgwODE4ZTYzYzkwMDAxOGU3ODdiYzQ4ZDA1OTg=</t>
  </si>
  <si>
    <t>企业地址</t>
  </si>
  <si>
    <t>产品清单</t>
  </si>
  <si>
    <t>备案编号清单</t>
  </si>
  <si>
    <t>usmile笑容加焕白清新牙膏（山野脆苹）焕新版；usmile笑容加修护防蛀儿童牙膏（沁甜草莓）；usmile笑容加光氧美白牙膏（极光依兰）焕新版；usmile笑容加光氧美白牙膏（乌木玫瑰）焕新版；usmile笑容加焕白清新牙膏（云上葡萄）焕彩版；usmile笑容加抗敏修白牙膏（白花柚香）；usmile笑容加青少年美白防蛀牙膏（冰萃葡萄）；usmile笑容加深导修护牙膏（雪松薄荷）；usmile笑容加抗敏修白牙膏；usmile笑容加光氧美白牙膏（极光依兰）；usmile笑容加双效香氛牙膏（赤霞橘光）；usmile笑容加双效香氛牙膏（晨露玫瑰）；usmile笑容加光氧美白牙膏（乌木玫瑰）；usmile笑容加牙龈护牙膏（金柚橙花）</t>
  </si>
  <si>
    <t>粤国牙膏网备字2026002742；粤国牙膏网备字2026001949；粤国牙膏网备字2026001696；粤国牙膏网备字2026001692；粤国牙膏网备字2026001484；粤国牙膏网备字2026001571；粤国牙膏网备字2026000965；粤国牙膏网备字2026000828；粤国牙膏网备字2026000915；粤国牙膏网备字2026000539；粤国牙膏网备字2026000478；粤国牙膏网备字2026000477；粤国牙膏网备字2026000538；粤国牙膏网备字2026000302</t>
  </si>
  <si>
    <t>usmile笑容加净齿抗糖酸儿童牙膏（多汁草莓）；usmile笑容加焕白清新牙膏（雪浸山茶）焕彩版；usmile笑容加光氧美白牙膏（极光依兰）焕新版；usmile笑容加光氧美白牙膏（乌木玫瑰）焕新版；usmile笑容加焕白清新牙膏（云上葡萄）焕彩版；usmile笑容加双管美白精华牙膏（月下铃兰）；usmile笑容加美白双管牙膏（月下鸢尾）；usmile笑容加色修美白牙膏；usmile笑容加双效香氛牙膏（赤霞橘光）；usmile笑容加双效香氛牙膏（晨露玫瑰）；usmile笑容加冷光修白牙膏（冷萃葡萄）</t>
  </si>
  <si>
    <t>粤国牙膏网备字2026001605；粤国牙膏网备字2026001485；粤国牙膏网备字2026001696；粤国牙膏网备字2026001692；粤国牙膏网备字2026001484；粤国牙膏网备字2026001572；粤国牙膏网备字2026000740；粤国牙膏网备字2026000832；粤国牙膏网备字2026000478；粤国牙膏网备字2026000477；粤国牙膏网备字2026000123</t>
  </si>
  <si>
    <t>usmile笑容加焕白清新牙膏（雪浸山茶）焕彩版；usmile笑容加抗敏修白牙膏（白花柚香）；usmile笑容加青少年美白防蛀牙膏（冰萃葡萄）；usmile笑容加防渍锁白牙膏（晨露桂雨）；usmile笑容加专研清新牙膏（冰萃薄荷）；usmile笑容加抗敏修白牙膏；usmile笑容加牙龈护牙膏（金柚橙花）</t>
  </si>
  <si>
    <t>粤国牙膏网备字2026001485；粤国牙膏网备字2026001571；粤国牙膏网备字2026000965；粤国牙膏网备字2026000830；粤国牙膏网备字2026000829；粤国牙膏网备字2026000915；粤国牙膏网备字2026000302</t>
  </si>
  <si>
    <t>官方预览链接</t>
  </si>
  <si>
    <t>说明书</t>
  </si>
  <si>
    <t>https://hzpba.nmpa.gov.cn/HZPBZCX/PTHZPBA-SERVER/nmpafile/gsxxFilePreview?attachmentId=1524803816536481792</t>
  </si>
  <si>
    <t>产品包装平面图</t>
  </si>
  <si>
    <t>https://hzpba.nmpa.gov.cn/HZPBZCX/PTHZPBA-SERVER/nmpafile/gsxxFilePreview?attachmentId=1524803420619350016</t>
  </si>
  <si>
    <t>产品立体平面图</t>
  </si>
  <si>
    <t>https://hzpba.nmpa.gov.cn/HZPBZCX/PTHZPBA-SERVER/nmpafile/gsxxFilePreview?attachmentId=1524803255216971776</t>
  </si>
  <si>
    <t>https://hzpba.nmpa.gov.cn/HZPBZCX/PTHZPBA-SERVER/nmpafile/gsxxFilePreview?attachmentId=1504513500164202496</t>
  </si>
  <si>
    <t>https://hzpba.nmpa.gov.cn/HZPBZCX/PTHZPBA-SERVER/nmpafile/gsxxFilePreview?attachmentId=1499374189341122560</t>
  </si>
  <si>
    <t>https://hzpba.nmpa.gov.cn/HZPBZCX/PTHZPBA-SERVER/nmpafile/gsxxFilePreview?attachmentId=1504513568367779840</t>
  </si>
  <si>
    <t>https://hzpba.nmpa.gov.cn/HZPBZCX/PTHZPBA-SERVER/nmpafile/gsxxFilePreview?attachmentId=1503805846752141312</t>
  </si>
  <si>
    <t>https://hzpba.nmpa.gov.cn/HZPBZCX/PTHZPBA-SERVER/nmpafile/gsxxFilePreview?attachmentId=1494763705820323840</t>
  </si>
  <si>
    <t>https://hzpba.nmpa.gov.cn/HZPBZCX/PTHZPBA-SERVER/nmpafile/gsxxFilePreview?attachmentId=1494774080112500736</t>
  </si>
  <si>
    <t>https://hzpba.nmpa.gov.cn/HZPBZCX/PTHZPBA-SERVER/nmpafile/gsxxFilePreview?attachmentId=1494763528749391872</t>
  </si>
  <si>
    <t>https://hzpba.nmpa.gov.cn/HZPBZCX/PTHZPBA-SERVER/nmpafile/gsxxFilePreview?attachmentId=1503807741252149248</t>
  </si>
  <si>
    <t>https://hzpba.nmpa.gov.cn/HZPBZCX/PTHZPBA-SERVER/nmpafile/gsxxFilePreview?attachmentId=1498379755292008448</t>
  </si>
  <si>
    <t>https://hzpba.nmpa.gov.cn/HZPBZCX/PTHZPBA-SERVER/nmpafile/gsxxFilePreview?attachmentId=1498379728410714112</t>
  </si>
  <si>
    <t>https://hzpba.nmpa.gov.cn/HZPBZCX/PTHZPBA-SERVER/nmpafile/gsxxFilePreview?attachmentId=1498373376090046464</t>
  </si>
  <si>
    <t>https://hzpba.nmpa.gov.cn/HZPBZCX/PTHZPBA-SERVER/nmpafile/gsxxFilePreview?attachmentId=1507441623410147328</t>
  </si>
  <si>
    <t>https://hzpba.nmpa.gov.cn/HZPBZCX/PTHZPBA-SERVER/nmpafile/gsxxFilePreview?attachmentId=1507443590749560832</t>
  </si>
  <si>
    <t>https://hzpba.nmpa.gov.cn/HZPBZCX/PTHZPBA-SERVER/nmpafile/gsxxFilePreview?attachmentId=1507441623552753664</t>
  </si>
  <si>
    <t>https://hzpba.nmpa.gov.cn/HZPBZCX/PTHZPBA-SERVER/nmpafile/gsxxFilePreview?attachmentId=1494029306866769920</t>
  </si>
  <si>
    <t>https://hzpba.nmpa.gov.cn/HZPBZCX/PTHZPBA-SERVER/nmpafile/gsxxFilePreview?attachmentId=1494016840053104640</t>
  </si>
  <si>
    <t>https://hzpba.nmpa.gov.cn/HZPBZCX/PTHZPBA-SERVER/nmpafile/gsxxFilePreview?attachmentId=1494016562893496320</t>
  </si>
  <si>
    <t>https://hzpba.nmpa.gov.cn/HZPBZCX/PTHZPBA-SERVER/nmpafile/gsxxFilePreview?attachmentId=1489684073802702848</t>
  </si>
  <si>
    <t>https://hzpba.nmpa.gov.cn/HZPBZCX/PTHZPBA-SERVER/nmpafile/gsxxFilePreview?attachmentId=1489683993934766080</t>
  </si>
  <si>
    <t>https://hzpba.nmpa.gov.cn/HZPBZCX/PTHZPBA-SERVER/nmpafile/gsxxFilePreview?attachmentId=1489682678957547520</t>
  </si>
  <si>
    <t>https://hzpba.nmpa.gov.cn/HZPBZCX/PTHZPBA-SERVER/nmpafile/gsxxFilePreview?attachmentId=1488606999633534976</t>
  </si>
  <si>
    <t>https://hzpba.nmpa.gov.cn/HZPBZCX/PTHZPBA-SERVER/nmpafile/gsxxFilePreview?attachmentId=1488606909254672384</t>
  </si>
  <si>
    <t>https://hzpba.nmpa.gov.cn/HZPBZCX/PTHZPBA-SERVER/nmpafile/gsxxFilePreview?attachmentId=1488606877772226560</t>
  </si>
  <si>
    <t>https://hzpba.nmpa.gov.cn/HZPBZCX/PTHZPBA-SERVER/nmpafile/gsxxFilePreview?attachmentId=1483871467884060672</t>
  </si>
  <si>
    <t>https://hzpba.nmpa.gov.cn/HZPBZCX/PTHZPBA-SERVER/nmpafile/gsxxFilePreview?attachmentId=1483871419519541248</t>
  </si>
  <si>
    <t>https://hzpba.nmpa.gov.cn/HZPBZCX/PTHZPBA-SERVER/nmpafile/gsxxFilePreview?attachmentId=1483865736875155456</t>
  </si>
  <si>
    <t>https://hzpba.nmpa.gov.cn/HZPBZCX/PTHZPBA-SERVER/nmpafile/gsxxFilePreview?attachmentId=1486400891892342784</t>
  </si>
  <si>
    <t>https://hzpba.nmpa.gov.cn/HZPBZCX/PTHZPBA-SERVER/nmpafile/gsxxFilePreview?attachmentId=1486400833922867200</t>
  </si>
  <si>
    <t>https://hzpba.nmpa.gov.cn/HZPBZCX/PTHZPBA-SERVER/nmpafile/gsxxFilePreview?attachmentId=1482067669561712640</t>
  </si>
  <si>
    <t>https://hzpba.nmpa.gov.cn/HZPBZCX/PTHZPBA-SERVER/nmpafile/gsxxFilePreview?attachmentId=1484614083227492352</t>
  </si>
  <si>
    <t>https://hzpba.nmpa.gov.cn/HZPBZCX/PTHZPBA-SERVER/nmpafile/gsxxFilePreview?attachmentId=1482068515536052224</t>
  </si>
  <si>
    <t>https://hzpba.nmpa.gov.cn/HZPBZCX/PTHZPBA-SERVER/nmpafile/gsxxFilePreview?attachmentId=1482067109123006464</t>
  </si>
  <si>
    <t>https://hzpba.nmpa.gov.cn/HZPBZCX/PTHZPBA-SERVER/nmpafile/gsxxFilePreview?attachmentId=1518646868022657024</t>
  </si>
  <si>
    <t>https://hzpba.nmpa.gov.cn/HZPBZCX/PTHZPBA-SERVER/nmpafile/gsxxFilePreview?attachmentId=1518646867888439296</t>
  </si>
  <si>
    <t>https://hzpba.nmpa.gov.cn/HZPBZCX/PTHZPBA-SERVER/nmpafile/gsxxFilePreview?attachmentId=1518646154073546752</t>
  </si>
  <si>
    <t>https://hzpba.nmpa.gov.cn/HZPBZCX/PTHZPBA-SERVER/nmpafile/gsxxFilePreview?attachmentId=1489687478734495744</t>
  </si>
  <si>
    <t>https://hzpba.nmpa.gov.cn/HZPBZCX/PTHZPBA-SERVER/nmpafile/gsxxFilePreview?attachmentId=1489686983609491456</t>
  </si>
  <si>
    <t>https://hzpba.nmpa.gov.cn/HZPBZCX/PTHZPBA-SERVER/nmpafile/gsxxFilePreview?attachmentId=1481336157778288640</t>
  </si>
  <si>
    <t>https://hzpba.nmpa.gov.cn/HZPBZCX/PTHZPBA-SERVER/nmpafile/gsxxFilePreview?attachmentId=1480991494869426176</t>
  </si>
  <si>
    <t>https://hzpba.nmpa.gov.cn/HZPBZCX/PTHZPBA-SERVER/nmpafile/gsxxFilePreview?attachmentId=1480991328078733312</t>
  </si>
  <si>
    <t>https://hzpba.nmpa.gov.cn/HZPBZCX/PTHZPBA-SERVER/nmpafile/gsxxFilePreview?attachmentId=1477352775415308288</t>
  </si>
  <si>
    <t>https://hzpba.nmpa.gov.cn/HZPBZCX/PTHZPBA-SERVER/nmpafile/gsxxFilePreview?attachmentId=1476616576971120640</t>
  </si>
  <si>
    <t>https://hzpba.nmpa.gov.cn/HZPBZCX/PTHZPBA-SERVER/nmpafile/gsxxFilePreview?attachmentId=1476616472092549120</t>
  </si>
  <si>
    <t>https://hzpba.nmpa.gov.cn/HZPBZCX/PTHZPBA-SERVER/nmpafile/gsxxFilePreview?attachmentId=1476616447866249216</t>
  </si>
  <si>
    <t>https://hzpba.nmpa.gov.cn/HZPBZCX/PTHZPBA-SERVER/nmpafile/gsxxFilePreview?attachmentId=1477346141213368320</t>
  </si>
  <si>
    <t>https://hzpba.nmpa.gov.cn/HZPBZCX/PTHZPBA-SERVER/nmpafile/gsxxFilePreview?attachmentId=1477343881620168704</t>
  </si>
  <si>
    <t>https://hzpba.nmpa.gov.cn/HZPBZCX/PTHZPBA-SERVER/nmpafile/gsxxFilePreview?attachmentId=1477343756457943040</t>
  </si>
  <si>
    <t>https://hzpba.nmpa.gov.cn/HZPBZCX/PTHZPBA-SERVER/nmpafile/gsxxFilePreview?attachmentId=1489319273574768640</t>
  </si>
  <si>
    <t>https://hzpba.nmpa.gov.cn/HZPBZCX/PTHZPBA-SERVER/nmpafile/gsxxFilePreview?attachmentId=1489319098588405760</t>
  </si>
  <si>
    <t>https://hzpba.nmpa.gov.cn/HZPBZCX/PTHZPBA-SERVER/nmpafile/gsxxFilePreview?attachmentId=1489310258596675584</t>
  </si>
  <si>
    <t>https://hzpba.nmpa.gov.cn/HZPBZCX/PTHZPBA-SERVER/nmpafile/gsxxFilePreview?attachmentId=1489323721499942912</t>
  </si>
  <si>
    <t>https://hzpba.nmpa.gov.cn/HZPBZCX/PTHZPBA-SERVER/nmpafile/gsxxFilePreview?attachmentId=1489323683054952448</t>
  </si>
  <si>
    <t>https://hzpba.nmpa.gov.cn/HZPBZCX/PTHZPBA-SERVER/nmpafile/gsxxFilePreview?attachmentId=1489230857221701632</t>
  </si>
  <si>
    <t>https://hzpba.nmpa.gov.cn/HZPBZCX/PTHZPBA-SERVER/nmpafile/gsxxFilePreview?attachmentId=1477348912868171776</t>
  </si>
  <si>
    <t>https://hzpba.nmpa.gov.cn/HZPBZCX/PTHZPBA-SERVER/nmpafile/gsxxFilePreview?attachmentId=1477347843341623296</t>
  </si>
  <si>
    <t>https://hzpba.nmpa.gov.cn/HZPBZCX/PTHZPBA-SERVER/nmpafile/gsxxFilePreview?attachmentId=1477347077356855296</t>
  </si>
  <si>
    <t>https://hzpba.nmpa.gov.cn/HZPBZCX/PTHZPBA-SERVER/nmpafile/gsxxFilePreview?attachmentId=1465675040724951040</t>
  </si>
  <si>
    <t>https://hzpba.nmpa.gov.cn/HZPBZCX/PTHZPBA-SERVER/nmpafile/gsxxFilePreview?attachmentId=1465674956151005184</t>
  </si>
  <si>
    <t>https://hzpba.nmpa.gov.cn/HZPBZCX/PTHZPBA-SERVER/nmpafile/gsxxFilePreview?attachmentId=1465674896822575104</t>
  </si>
  <si>
    <t>https://hzpba.nmpa.gov.cn/HZPBZCX/PTHZPBA-SERVER/nmpafile/gsxxFilePreview?attachmentId=1465406110546599936</t>
  </si>
  <si>
    <t>https://hzpba.nmpa.gov.cn/HZPBZCX/PTHZPBA-SERVER/nmpafile/gsxxFilePreview?attachmentId=1465405647830982656</t>
  </si>
  <si>
    <t>https://hzpba.nmpa.gov.cn/HZPBZCX/PTHZPBA-SERVER/nmpafile/gsxxFilePreview?attachmentId=1464222929804853248</t>
  </si>
  <si>
    <t>数据口径与注意事项</t>
  </si>
  <si>
    <t>数据源</t>
  </si>
  <si>
    <t>国家药品监督管理局数据查询 - 国产牙膏备案信息</t>
  </si>
  <si>
    <t>官方入口</t>
  </si>
  <si>
    <t>https://www.nmpa.gov.cn/datasearch/home-index.html#category=hzp</t>
  </si>
  <si>
    <t>查询关键词</t>
  </si>
  <si>
    <t>usmile / 笑容加</t>
  </si>
  <si>
    <t>去重口径</t>
  </si>
  <si>
    <t>按备案编号去重；同备案编号多主键时跨主键合并成分、包装、生产企业字段。</t>
  </si>
  <si>
    <t>今年范围</t>
  </si>
  <si>
    <t>2026-01-01 至 2026-08-06</t>
  </si>
  <si>
    <t>加工厂统计</t>
  </si>
  <si>
    <t>加工厂维度按生产企业字段中带生产地址或生产许可证的企业统计；无生产企业详情的产品归为未公示/详情为空。</t>
  </si>
  <si>
    <t>剩余缺失</t>
  </si>
  <si>
    <t>1 条全成分子表未返回；1 条生产企业字段未返回；2 条包装子表未返回。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</si>
</sst>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>
    <font>
      <sz val="11"/>
      <name val="Carlito"/>
    </font>
    <font>
      <b/>
      <sz val="11"/>
      <color rgb="FF17324D"/>
      <name val="Carlito"/>
    </font>
    <font>
      <b/>
      <sz val="16"/>
      <color rgb="FF17324D"/>
      <name val="Carlito"/>
    </font>
    <font>
      <i/>
      <sz val="11"/>
      <color rgb="FF385163"/>
      <name val="Carlito"/>
    </font>
    <font>
      <b/>
      <sz val="14"/>
      <color rgb="FF245B78"/>
      <name val="Carlito"/>
    </font>
    <font>
      <sz val="11"/>
      <name val="Carlito"/>
    </font>
    <font>
      <sz val="9"/>
      <name val="FangSong"/>
      <family val="3"/>
      <charset val="134"/>
    </font>
    <font>
      <b/>
      <sz val="11"/>
      <color theme="0"/>
      <name val="Carlito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B8C7D1"/>
      </left>
      <right/>
      <top style="thin">
        <color rgb="FFB8C7D1"/>
      </top>
      <bottom/>
      <diagonal/>
    </border>
    <border>
      <left/>
      <right style="thin">
        <color rgb="FFB8C7D1"/>
      </right>
      <top style="thin">
        <color rgb="FFB8C7D1"/>
      </top>
      <bottom/>
      <diagonal/>
    </border>
    <border>
      <left style="thin">
        <color rgb="FFB8C7D1"/>
      </left>
      <right/>
      <top/>
      <bottom/>
      <diagonal/>
    </border>
    <border>
      <left/>
      <right style="thin">
        <color rgb="FFB8C7D1"/>
      </right>
      <top/>
      <bottom/>
      <diagonal/>
    </border>
    <border>
      <left style="thin">
        <color rgb="FFB8C7D1"/>
      </left>
      <right/>
      <top/>
      <bottom style="thin">
        <color rgb="FFB8C7D1"/>
      </bottom>
      <diagonal/>
    </border>
    <border>
      <left/>
      <right style="thin">
        <color rgb="FFB8C7D1"/>
      </right>
      <top/>
      <bottom style="thin">
        <color rgb="FFB8C7D1"/>
      </bottom>
      <diagonal/>
    </border>
    <border>
      <left style="thin">
        <color rgb="FFD6E0E6"/>
      </left>
      <right style="thin">
        <color rgb="FFD6E0E6"/>
      </right>
      <top style="thin">
        <color rgb="FFD6E0E6"/>
      </top>
      <bottom style="thin">
        <color rgb="FFD6E0E6"/>
      </bottom>
      <diagonal/>
    </border>
  </borders>
  <cellStyleXfs count="2">
    <xf numFmtId="0" fontId="0" fillId="0" borderId="0"/>
    <xf numFmtId="0" fontId="5" fillId="0" borderId="0"/>
  </cellStyleXfs>
  <cellXfs count="32">
    <xf numFmtId="0" fontId="0" fillId="0" borderId="0" xfId="0"/>
    <xf numFmtId="0" fontId="1" fillId="0" borderId="0" xfId="1" applyFont="1" applyAlignment="1">
      <alignment horizontal="center" vertical="center" wrapText="1"/>
    </xf>
    <xf numFmtId="0" fontId="1" fillId="0" borderId="0" xfId="1" applyFont="1" applyAlignment="1">
      <alignment horizontal="center" vertical="top" wrapText="1"/>
    </xf>
    <xf numFmtId="0" fontId="0" fillId="0" borderId="0" xfId="1" applyFont="1" applyAlignment="1">
      <alignment vertical="top"/>
    </xf>
    <xf numFmtId="176" fontId="0" fillId="0" borderId="0" xfId="1" applyNumberFormat="1" applyFont="1" applyAlignment="1">
      <alignment vertical="top"/>
    </xf>
    <xf numFmtId="0" fontId="0" fillId="0" borderId="0" xfId="1" applyFont="1" applyAlignment="1">
      <alignment vertical="top" wrapText="1"/>
    </xf>
    <xf numFmtId="3" fontId="0" fillId="0" borderId="0" xfId="1" applyNumberFormat="1" applyFont="1" applyAlignment="1">
      <alignment vertical="top" wrapText="1"/>
    </xf>
    <xf numFmtId="3" fontId="0" fillId="0" borderId="0" xfId="1" applyNumberFormat="1" applyFont="1" applyAlignment="1">
      <alignment vertical="top"/>
    </xf>
    <xf numFmtId="0" fontId="1" fillId="0" borderId="1" xfId="1" applyFont="1" applyBorder="1"/>
    <xf numFmtId="0" fontId="1" fillId="0" borderId="3" xfId="1" applyFont="1" applyBorder="1"/>
    <xf numFmtId="0" fontId="1" fillId="0" borderId="5" xfId="1" applyFont="1" applyBorder="1"/>
    <xf numFmtId="3" fontId="4" fillId="0" borderId="2" xfId="1" applyNumberFormat="1" applyFont="1" applyBorder="1"/>
    <xf numFmtId="3" fontId="4" fillId="0" borderId="4" xfId="1" applyNumberFormat="1" applyFont="1" applyBorder="1"/>
    <xf numFmtId="3" fontId="4" fillId="0" borderId="6" xfId="1" applyNumberFormat="1" applyFont="1" applyBorder="1"/>
    <xf numFmtId="0" fontId="1" fillId="0" borderId="7" xfId="1" applyFont="1" applyBorder="1" applyAlignment="1">
      <alignment horizontal="center" vertical="center" wrapText="1"/>
    </xf>
    <xf numFmtId="0" fontId="0" fillId="0" borderId="7" xfId="1" applyFont="1" applyBorder="1"/>
    <xf numFmtId="3" fontId="0" fillId="0" borderId="7" xfId="1" applyNumberFormat="1" applyFont="1" applyBorder="1"/>
    <xf numFmtId="0" fontId="0" fillId="0" borderId="7" xfId="1" applyFont="1" applyBorder="1" applyAlignment="1">
      <alignment wrapText="1"/>
    </xf>
    <xf numFmtId="3" fontId="0" fillId="0" borderId="7" xfId="1" applyNumberFormat="1" applyFont="1" applyBorder="1" applyAlignment="1">
      <alignment wrapText="1"/>
    </xf>
    <xf numFmtId="0" fontId="2" fillId="0" borderId="0" xfId="1" applyFont="1" applyAlignment="1">
      <alignment horizontal="center" vertical="top"/>
    </xf>
    <xf numFmtId="0" fontId="3" fillId="0" borderId="0" xfId="1" applyFont="1"/>
    <xf numFmtId="0" fontId="1" fillId="0" borderId="0" xfId="1" applyFont="1"/>
    <xf numFmtId="0" fontId="0" fillId="0" borderId="0" xfId="1" applyFont="1" applyAlignment="1">
      <alignment wrapText="1"/>
    </xf>
    <xf numFmtId="0" fontId="2" fillId="0" borderId="0" xfId="1" applyFont="1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1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0" fillId="0" borderId="0" xfId="1" applyFont="1" applyAlignment="1">
      <alignment horizontal="center" vertical="center"/>
    </xf>
    <xf numFmtId="0" fontId="0" fillId="0" borderId="0" xfId="1" applyFont="1" applyAlignment="1">
      <alignment horizontal="left" vertical="center"/>
    </xf>
    <xf numFmtId="176" fontId="0" fillId="0" borderId="0" xfId="1" applyNumberFormat="1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1" applyFont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8"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rlito"/>
        <scheme val="none"/>
      </font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altLang="zh-CN"/>
              <a:t>2026 </a:t>
            </a:r>
            <a:r>
              <a:rPr lang="zh-CN" altLang="en-US"/>
              <a:t>每月备案数量趋势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备案数量</c:v>
          </c:tx>
          <c:marker>
            <c:symbol val="none"/>
          </c:marker>
          <c:cat>
            <c:strRef>
              <c:f>摘要趋势!$A$11:$A$18</c:f>
              <c:strCache>
                <c:ptCount val="8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</c:strCache>
            </c:strRef>
          </c:cat>
          <c:val>
            <c:numRef>
              <c:f>摘要趋势!$B$11:$B$18</c:f>
              <c:numCache>
                <c:formatCode>#,##0</c:formatCode>
                <c:ptCount val="8"/>
                <c:pt idx="0">
                  <c:v>5</c:v>
                </c:pt>
                <c:pt idx="1">
                  <c:v>3</c:v>
                </c:pt>
                <c:pt idx="2">
                  <c:v>6</c:v>
                </c:pt>
                <c:pt idx="3">
                  <c:v>7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71D-204E-8C6B-4ACA548F9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zh-CN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</xdr:row>
      <xdr:rowOff>0</xdr:rowOff>
    </xdr:from>
    <xdr:to>
      <xdr:col>11</xdr:col>
      <xdr:colOff>0</xdr:colOff>
      <xdr:row>26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Details" displayName="ProductDetails" ref="A1:Q24" totalsRowShown="0" headerRowDxfId="7">
  <autoFilter ref="A1:Q24" xr:uid="{00000000-0009-0000-0100-000001000000}"/>
  <tableColumns count="17">
    <tableColumn id="1" xr3:uid="{00000000-0010-0000-0000-000001000000}" name="月份" dataDxfId="6"/>
    <tableColumn id="2" xr3:uid="{00000000-0010-0000-0000-000002000000}" name="备案日期" dataDxfId="5"/>
    <tableColumn id="3" xr3:uid="{00000000-0010-0000-0000-000003000000}" name="产品名称" dataDxfId="4"/>
    <tableColumn id="4" xr3:uid="{00000000-0010-0000-0000-000004000000}" name="备案编号" dataDxfId="3"/>
    <tableColumn id="5" xr3:uid="{00000000-0010-0000-0000-000005000000}" name="备案人" dataDxfId="2"/>
    <tableColumn id="7" xr3:uid="{00000000-0010-0000-0000-000007000000}" name="加工厂" dataDxfId="1"/>
    <tableColumn id="10" xr3:uid="{00000000-0010-0000-0000-00000A000000}" name="生产许可证" dataDxfId="0"/>
    <tableColumn id="11" xr3:uid="{00000000-0010-0000-0000-00000B000000}" name="0.1%以上成分"/>
    <tableColumn id="12" xr3:uid="{00000000-0010-0000-0000-00000C000000}" name="其他微量成分"/>
    <tableColumn id="15" xr3:uid="{00000000-0010-0000-0000-00000F000000}" name="保质期"/>
    <tableColumn id="17" xr3:uid="{00000000-0010-0000-0000-000011000000}" name="功效宣称"/>
    <tableColumn id="18" xr3:uid="{00000000-0010-0000-0000-000012000000}" name="包装附件数"/>
    <tableColumn id="19" xr3:uid="{00000000-0010-0000-0000-000013000000}" name="包装类别"/>
    <tableColumn id="20" xr3:uid="{00000000-0010-0000-0000-000014000000}" name="包装预览链接"/>
    <tableColumn id="21" xr3:uid="{00000000-0010-0000-0000-000015000000}" name="本地包装图片"/>
    <tableColumn id="22" xr3:uid="{00000000-0010-0000-0000-000016000000}" name="官方详情页"/>
    <tableColumn id="23" xr3:uid="{00000000-0010-0000-0000-000017000000}" name="数据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actorySummary" displayName="FactorySummary" ref="A1:H5" totalsRowShown="0">
  <autoFilter ref="A1:H5" xr:uid="{00000000-0009-0000-0100-000002000000}"/>
  <tableColumns count="8">
    <tableColumn id="1" xr3:uid="{00000000-0010-0000-0100-000001000000}" name="加工厂"/>
    <tableColumn id="2" xr3:uid="{00000000-0010-0000-0100-000002000000}" name="备案产品数"/>
    <tableColumn id="3" xr3:uid="{00000000-0010-0000-0100-000003000000}" name="生产许可证"/>
    <tableColumn id="4" xr3:uid="{00000000-0010-0000-0100-000004000000}" name="生产地址"/>
    <tableColumn id="5" xr3:uid="{00000000-0010-0000-0100-000005000000}" name="企业地址"/>
    <tableColumn id="6" xr3:uid="{00000000-0010-0000-0100-000006000000}" name="备案人"/>
    <tableColumn id="7" xr3:uid="{00000000-0010-0000-0100-000007000000}" name="产品清单"/>
    <tableColumn id="8" xr3:uid="{00000000-0010-0000-0100-000008000000}" name="备案编号清单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ackageLinks" displayName="PackageLinks" ref="A1:E66" totalsRowShown="0">
  <autoFilter ref="A1:E66" xr:uid="{00000000-0009-0000-0100-000003000000}"/>
  <tableColumns count="5">
    <tableColumn id="1" xr3:uid="{00000000-0010-0000-0200-000001000000}" name="备案日期"/>
    <tableColumn id="2" xr3:uid="{00000000-0010-0000-0200-000002000000}" name="产品名称"/>
    <tableColumn id="3" xr3:uid="{00000000-0010-0000-0200-000003000000}" name="备案编号"/>
    <tableColumn id="4" xr3:uid="{00000000-0010-0000-0200-000004000000}" name="包装类别"/>
    <tableColumn id="5" xr3:uid="{00000000-0010-0000-0200-000005000000}" name="官方预览链接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showGridLines="0" tabSelected="1" workbookViewId="0">
      <selection activeCell="G34" sqref="G34"/>
    </sheetView>
  </sheetViews>
  <sheetFormatPr baseColWidth="10" defaultColWidth="8.83203125" defaultRowHeight="14"/>
  <cols>
    <col min="1" max="1" width="16" customWidth="1"/>
    <col min="2" max="2" width="14" customWidth="1"/>
    <col min="4" max="4" width="30" customWidth="1"/>
    <col min="5" max="5" width="12" customWidth="1"/>
    <col min="6" max="6" width="26" customWidth="1"/>
    <col min="7" max="7" width="35.6640625" customWidth="1"/>
    <col min="8" max="11" width="26" customWidth="1"/>
  </cols>
  <sheetData>
    <row r="1" spans="1:11" ht="30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15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4" spans="1:11" ht="18">
      <c r="A4" s="8" t="s">
        <v>2</v>
      </c>
      <c r="B4" s="11">
        <f>SUM(B11:B18)</f>
        <v>23</v>
      </c>
      <c r="D4" s="21" t="s">
        <v>3</v>
      </c>
      <c r="E4" s="21"/>
      <c r="F4" s="21"/>
      <c r="G4" s="21"/>
      <c r="H4" s="21"/>
    </row>
    <row r="5" spans="1:11" ht="18">
      <c r="A5" s="9" t="s">
        <v>4</v>
      </c>
      <c r="B5" s="12">
        <v>3</v>
      </c>
      <c r="D5" s="14" t="s">
        <v>5</v>
      </c>
      <c r="E5" s="14" t="s">
        <v>6</v>
      </c>
      <c r="F5" s="14" t="s">
        <v>7</v>
      </c>
      <c r="G5" s="14" t="s">
        <v>8</v>
      </c>
      <c r="H5" s="14" t="s">
        <v>9</v>
      </c>
    </row>
    <row r="6" spans="1:11" ht="91">
      <c r="A6" s="9" t="s">
        <v>10</v>
      </c>
      <c r="B6" s="12">
        <v>65</v>
      </c>
      <c r="D6" s="17" t="s">
        <v>11</v>
      </c>
      <c r="E6" s="18">
        <v>14</v>
      </c>
      <c r="F6" s="17" t="s">
        <v>12</v>
      </c>
      <c r="G6" s="17" t="s">
        <v>13</v>
      </c>
      <c r="H6" s="17" t="s">
        <v>14</v>
      </c>
    </row>
    <row r="7" spans="1:11" ht="31">
      <c r="A7" s="10" t="s">
        <v>15</v>
      </c>
      <c r="B7" s="13">
        <v>1</v>
      </c>
      <c r="D7" s="17" t="s">
        <v>16</v>
      </c>
      <c r="E7" s="18">
        <v>11</v>
      </c>
      <c r="F7" s="17" t="s">
        <v>17</v>
      </c>
      <c r="G7" s="17" t="s">
        <v>18</v>
      </c>
      <c r="H7" s="17" t="s">
        <v>14</v>
      </c>
    </row>
    <row r="8" spans="1:11" ht="30">
      <c r="D8" s="17" t="s">
        <v>19</v>
      </c>
      <c r="E8" s="18">
        <v>7</v>
      </c>
      <c r="F8" s="17" t="s">
        <v>20</v>
      </c>
      <c r="G8" s="17" t="s">
        <v>21</v>
      </c>
      <c r="H8" s="17" t="s">
        <v>14</v>
      </c>
    </row>
    <row r="10" spans="1:11" ht="16">
      <c r="A10" s="14" t="s">
        <v>22</v>
      </c>
      <c r="B10" s="14" t="s">
        <v>23</v>
      </c>
    </row>
    <row r="11" spans="1:11">
      <c r="A11" s="15" t="s">
        <v>24</v>
      </c>
      <c r="B11" s="16">
        <f>COUNTIFS(产品备案明细!$A$2:$A$24,A11)</f>
        <v>5</v>
      </c>
    </row>
    <row r="12" spans="1:11">
      <c r="A12" s="15" t="s">
        <v>25</v>
      </c>
      <c r="B12" s="16">
        <f>COUNTIFS(产品备案明细!$A$2:$A$24,A12)</f>
        <v>3</v>
      </c>
    </row>
    <row r="13" spans="1:11">
      <c r="A13" s="15" t="s">
        <v>26</v>
      </c>
      <c r="B13" s="16">
        <f>COUNTIFS(产品备案明细!$A$2:$A$24,A13)</f>
        <v>6</v>
      </c>
    </row>
    <row r="14" spans="1:11">
      <c r="A14" s="15" t="s">
        <v>27</v>
      </c>
      <c r="B14" s="16">
        <f>COUNTIFS(产品备案明细!$A$2:$A$24,A14)</f>
        <v>7</v>
      </c>
    </row>
    <row r="15" spans="1:11">
      <c r="A15" s="15" t="s">
        <v>28</v>
      </c>
      <c r="B15" s="16">
        <f>COUNTIFS(产品备案明细!$A$2:$A$24,A15)</f>
        <v>0</v>
      </c>
    </row>
    <row r="16" spans="1:11">
      <c r="A16" s="15" t="s">
        <v>29</v>
      </c>
      <c r="B16" s="16">
        <f>COUNTIFS(产品备案明细!$A$2:$A$24,A16)</f>
        <v>1</v>
      </c>
    </row>
    <row r="17" spans="1:11">
      <c r="A17" s="15" t="s">
        <v>30</v>
      </c>
      <c r="B17" s="16">
        <f>COUNTIFS(产品备案明细!$A$2:$A$24,A17)</f>
        <v>1</v>
      </c>
    </row>
    <row r="18" spans="1:11">
      <c r="A18" s="15" t="s">
        <v>31</v>
      </c>
      <c r="B18" s="16">
        <f>COUNTIFS(产品备案明细!$A$2:$A$24,A18)</f>
        <v>0</v>
      </c>
    </row>
    <row r="28" spans="1:11">
      <c r="A28" s="22" t="s">
        <v>32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</row>
    <row r="29" spans="1:11">
      <c r="A29" s="22" t="s">
        <v>33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</row>
    <row r="30" spans="1:11">
      <c r="A30" s="22" t="s">
        <v>34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</row>
  </sheetData>
  <mergeCells count="6">
    <mergeCell ref="A30:K30"/>
    <mergeCell ref="A1:K1"/>
    <mergeCell ref="A2:K2"/>
    <mergeCell ref="D4:H4"/>
    <mergeCell ref="A28:K28"/>
    <mergeCell ref="A29:K29"/>
  </mergeCells>
  <phoneticPr fontId="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4"/>
  <sheetViews>
    <sheetView showGridLines="0" topLeftCell="G1" workbookViewId="0">
      <selection activeCell="M5" sqref="M5"/>
    </sheetView>
  </sheetViews>
  <sheetFormatPr baseColWidth="10" defaultColWidth="8.83203125" defaultRowHeight="14"/>
  <cols>
    <col min="1" max="1" width="10" customWidth="1"/>
    <col min="2" max="2" width="12" customWidth="1"/>
    <col min="3" max="3" width="43" bestFit="1" customWidth="1"/>
    <col min="4" max="4" width="25" customWidth="1"/>
    <col min="5" max="5" width="24" customWidth="1"/>
    <col min="6" max="6" width="28" customWidth="1"/>
    <col min="7" max="7" width="28" style="30" customWidth="1"/>
    <col min="8" max="9" width="55" customWidth="1"/>
    <col min="10" max="11" width="34" customWidth="1"/>
    <col min="13" max="17" width="34" customWidth="1"/>
  </cols>
  <sheetData>
    <row r="1" spans="1:17" s="26" customFormat="1" ht="34" customHeight="1">
      <c r="A1" s="25" t="s">
        <v>22</v>
      </c>
      <c r="B1" s="25" t="s">
        <v>35</v>
      </c>
      <c r="C1" s="25" t="s">
        <v>36</v>
      </c>
      <c r="D1" s="25" t="s">
        <v>37</v>
      </c>
      <c r="E1" s="25" t="s">
        <v>38</v>
      </c>
      <c r="F1" s="25" t="s">
        <v>5</v>
      </c>
      <c r="G1" s="25" t="s">
        <v>7</v>
      </c>
      <c r="H1" s="25" t="s">
        <v>39</v>
      </c>
      <c r="I1" s="25" t="s">
        <v>40</v>
      </c>
      <c r="J1" s="25" t="s">
        <v>41</v>
      </c>
      <c r="K1" s="25" t="s">
        <v>42</v>
      </c>
      <c r="L1" s="25" t="s">
        <v>43</v>
      </c>
      <c r="M1" s="25" t="s">
        <v>44</v>
      </c>
      <c r="N1" s="25" t="s">
        <v>45</v>
      </c>
      <c r="O1" s="25" t="s">
        <v>46</v>
      </c>
      <c r="P1" s="25" t="s">
        <v>47</v>
      </c>
      <c r="Q1" s="25" t="s">
        <v>48</v>
      </c>
    </row>
    <row r="2" spans="1:17" ht="72" customHeight="1">
      <c r="A2" s="28" t="s">
        <v>30</v>
      </c>
      <c r="B2" s="29">
        <v>46212</v>
      </c>
      <c r="C2" s="28" t="s">
        <v>49</v>
      </c>
      <c r="D2" s="28" t="s">
        <v>50</v>
      </c>
      <c r="E2" s="28" t="s">
        <v>51</v>
      </c>
      <c r="F2" s="28" t="s">
        <v>52</v>
      </c>
      <c r="G2" s="27"/>
      <c r="H2" s="5" t="s">
        <v>53</v>
      </c>
      <c r="I2" s="5" t="s">
        <v>54</v>
      </c>
      <c r="J2" s="5" t="s">
        <v>55</v>
      </c>
      <c r="K2" s="5"/>
      <c r="L2" s="6">
        <v>3</v>
      </c>
      <c r="M2" s="5" t="s">
        <v>56</v>
      </c>
      <c r="N2" s="5" t="s">
        <v>57</v>
      </c>
      <c r="O2" s="5" t="s">
        <v>58</v>
      </c>
      <c r="P2" s="5" t="s">
        <v>59</v>
      </c>
      <c r="Q2" s="5" t="s">
        <v>60</v>
      </c>
    </row>
    <row r="3" spans="1:17" ht="72" customHeight="1">
      <c r="A3" s="28" t="s">
        <v>29</v>
      </c>
      <c r="B3" s="29">
        <v>46185</v>
      </c>
      <c r="C3" s="28" t="s">
        <v>61</v>
      </c>
      <c r="D3" s="28" t="s">
        <v>62</v>
      </c>
      <c r="E3" s="28" t="s">
        <v>51</v>
      </c>
      <c r="F3" s="28" t="s">
        <v>11</v>
      </c>
      <c r="G3" s="27" t="s">
        <v>12</v>
      </c>
      <c r="H3" s="5" t="s">
        <v>64</v>
      </c>
      <c r="I3" s="5" t="s">
        <v>65</v>
      </c>
      <c r="J3" s="5" t="s">
        <v>55</v>
      </c>
      <c r="K3" s="5"/>
      <c r="L3" s="6">
        <v>0</v>
      </c>
      <c r="M3" s="5"/>
      <c r="N3" s="5"/>
      <c r="O3" s="5"/>
      <c r="P3" s="5" t="s">
        <v>66</v>
      </c>
      <c r="Q3" s="5" t="s">
        <v>67</v>
      </c>
    </row>
    <row r="4" spans="1:17" ht="72" customHeight="1">
      <c r="A4" s="28" t="s">
        <v>27</v>
      </c>
      <c r="B4" s="29">
        <v>46142</v>
      </c>
      <c r="C4" s="28" t="s">
        <v>68</v>
      </c>
      <c r="D4" s="28" t="s">
        <v>69</v>
      </c>
      <c r="E4" s="28" t="s">
        <v>51</v>
      </c>
      <c r="F4" s="28" t="s">
        <v>11</v>
      </c>
      <c r="G4" s="27" t="s">
        <v>12</v>
      </c>
      <c r="H4" s="5" t="s">
        <v>70</v>
      </c>
      <c r="I4" s="5" t="s">
        <v>71</v>
      </c>
      <c r="J4" s="5" t="s">
        <v>72</v>
      </c>
      <c r="K4" s="5" t="s">
        <v>73</v>
      </c>
      <c r="L4" s="6">
        <v>3</v>
      </c>
      <c r="M4" s="5" t="s">
        <v>74</v>
      </c>
      <c r="N4" s="5" t="s">
        <v>75</v>
      </c>
      <c r="O4" s="5"/>
      <c r="P4" s="5" t="s">
        <v>76</v>
      </c>
      <c r="Q4" s="5"/>
    </row>
    <row r="5" spans="1:17" ht="72" customHeight="1">
      <c r="A5" s="28" t="s">
        <v>27</v>
      </c>
      <c r="B5" s="29">
        <v>46129</v>
      </c>
      <c r="C5" s="28" t="s">
        <v>77</v>
      </c>
      <c r="D5" s="28" t="s">
        <v>78</v>
      </c>
      <c r="E5" s="28" t="s">
        <v>51</v>
      </c>
      <c r="F5" s="28" t="s">
        <v>16</v>
      </c>
      <c r="G5" s="27" t="s">
        <v>17</v>
      </c>
      <c r="H5" s="5" t="s">
        <v>80</v>
      </c>
      <c r="I5" s="5" t="s">
        <v>81</v>
      </c>
      <c r="J5" s="5" t="s">
        <v>82</v>
      </c>
      <c r="K5" s="5" t="s">
        <v>73</v>
      </c>
      <c r="L5" s="6">
        <v>5</v>
      </c>
      <c r="M5" s="5" t="s">
        <v>83</v>
      </c>
      <c r="N5" s="5" t="s">
        <v>84</v>
      </c>
      <c r="O5" s="5"/>
      <c r="P5" s="5" t="s">
        <v>85</v>
      </c>
      <c r="Q5" s="5"/>
    </row>
    <row r="6" spans="1:17" ht="72" customHeight="1">
      <c r="A6" s="28" t="s">
        <v>27</v>
      </c>
      <c r="B6" s="29">
        <v>46128</v>
      </c>
      <c r="C6" s="28" t="s">
        <v>86</v>
      </c>
      <c r="D6" s="28" t="s">
        <v>87</v>
      </c>
      <c r="E6" s="28" t="s">
        <v>51</v>
      </c>
      <c r="F6" s="28" t="s">
        <v>88</v>
      </c>
      <c r="G6" s="27" t="s">
        <v>89</v>
      </c>
      <c r="H6" s="5" t="s">
        <v>90</v>
      </c>
      <c r="I6" s="5" t="s">
        <v>91</v>
      </c>
      <c r="J6" s="5" t="s">
        <v>92</v>
      </c>
      <c r="K6" s="5" t="s">
        <v>93</v>
      </c>
      <c r="L6" s="6">
        <v>3</v>
      </c>
      <c r="M6" s="5" t="s">
        <v>94</v>
      </c>
      <c r="N6" s="5" t="s">
        <v>95</v>
      </c>
      <c r="O6" s="5"/>
      <c r="P6" s="5" t="s">
        <v>96</v>
      </c>
      <c r="Q6" s="5"/>
    </row>
    <row r="7" spans="1:17" ht="72" customHeight="1">
      <c r="A7" s="28" t="s">
        <v>27</v>
      </c>
      <c r="B7" s="29">
        <v>46127</v>
      </c>
      <c r="C7" s="28" t="s">
        <v>97</v>
      </c>
      <c r="D7" s="28" t="s">
        <v>98</v>
      </c>
      <c r="E7" s="28" t="s">
        <v>51</v>
      </c>
      <c r="F7" s="28" t="s">
        <v>99</v>
      </c>
      <c r="G7" s="27" t="s">
        <v>100</v>
      </c>
      <c r="H7" s="5" t="s">
        <v>101</v>
      </c>
      <c r="I7" s="5" t="s">
        <v>102</v>
      </c>
      <c r="J7" s="5" t="s">
        <v>92</v>
      </c>
      <c r="K7" s="5" t="s">
        <v>103</v>
      </c>
      <c r="L7" s="6">
        <v>3</v>
      </c>
      <c r="M7" s="5" t="s">
        <v>56</v>
      </c>
      <c r="N7" s="5" t="s">
        <v>104</v>
      </c>
      <c r="O7" s="5"/>
      <c r="P7" s="5" t="s">
        <v>105</v>
      </c>
      <c r="Q7" s="5"/>
    </row>
    <row r="8" spans="1:17" ht="72" customHeight="1">
      <c r="A8" s="28" t="s">
        <v>27</v>
      </c>
      <c r="B8" s="29">
        <v>46127</v>
      </c>
      <c r="C8" s="28" t="s">
        <v>106</v>
      </c>
      <c r="D8" s="28" t="s">
        <v>107</v>
      </c>
      <c r="E8" s="28" t="s">
        <v>51</v>
      </c>
      <c r="F8" s="28" t="s">
        <v>108</v>
      </c>
      <c r="G8" s="27" t="s">
        <v>109</v>
      </c>
      <c r="H8" s="5" t="s">
        <v>110</v>
      </c>
      <c r="I8" s="5" t="s">
        <v>111</v>
      </c>
      <c r="J8" s="5" t="s">
        <v>92</v>
      </c>
      <c r="K8" s="5" t="s">
        <v>103</v>
      </c>
      <c r="L8" s="6">
        <v>3</v>
      </c>
      <c r="M8" s="5" t="s">
        <v>112</v>
      </c>
      <c r="N8" s="5" t="s">
        <v>113</v>
      </c>
      <c r="O8" s="5"/>
      <c r="P8" s="5" t="s">
        <v>114</v>
      </c>
      <c r="Q8" s="5"/>
    </row>
    <row r="9" spans="1:17" ht="72" customHeight="1">
      <c r="A9" s="28" t="s">
        <v>27</v>
      </c>
      <c r="B9" s="29">
        <v>46122</v>
      </c>
      <c r="C9" s="28" t="s">
        <v>115</v>
      </c>
      <c r="D9" s="28" t="s">
        <v>116</v>
      </c>
      <c r="E9" s="28" t="s">
        <v>51</v>
      </c>
      <c r="F9" s="28" t="s">
        <v>99</v>
      </c>
      <c r="G9" s="27" t="s">
        <v>100</v>
      </c>
      <c r="H9" s="5"/>
      <c r="I9" s="5"/>
      <c r="J9" s="5"/>
      <c r="K9" s="5"/>
      <c r="L9" s="6">
        <v>0</v>
      </c>
      <c r="M9" s="5"/>
      <c r="N9" s="5"/>
      <c r="O9" s="5"/>
      <c r="P9" s="5" t="s">
        <v>117</v>
      </c>
      <c r="Q9" s="5" t="s">
        <v>118</v>
      </c>
    </row>
    <row r="10" spans="1:17" ht="72" customHeight="1">
      <c r="A10" s="28" t="s">
        <v>27</v>
      </c>
      <c r="B10" s="29">
        <v>46115</v>
      </c>
      <c r="C10" s="28" t="s">
        <v>119</v>
      </c>
      <c r="D10" s="28" t="s">
        <v>120</v>
      </c>
      <c r="E10" s="28" t="s">
        <v>51</v>
      </c>
      <c r="F10" s="28" t="s">
        <v>16</v>
      </c>
      <c r="G10" s="27" t="s">
        <v>17</v>
      </c>
      <c r="H10" s="5" t="s">
        <v>121</v>
      </c>
      <c r="I10" s="5" t="s">
        <v>122</v>
      </c>
      <c r="J10" s="5" t="s">
        <v>123</v>
      </c>
      <c r="K10" s="5" t="s">
        <v>73</v>
      </c>
      <c r="L10" s="6">
        <v>3</v>
      </c>
      <c r="M10" s="5" t="s">
        <v>56</v>
      </c>
      <c r="N10" s="5" t="s">
        <v>124</v>
      </c>
      <c r="O10" s="5"/>
      <c r="P10" s="5" t="s">
        <v>125</v>
      </c>
      <c r="Q10" s="5"/>
    </row>
    <row r="11" spans="1:17" ht="72" customHeight="1">
      <c r="A11" s="28" t="s">
        <v>26</v>
      </c>
      <c r="B11" s="29">
        <v>46112</v>
      </c>
      <c r="C11" s="28" t="s">
        <v>126</v>
      </c>
      <c r="D11" s="28" t="s">
        <v>127</v>
      </c>
      <c r="E11" s="28" t="s">
        <v>51</v>
      </c>
      <c r="F11" s="28" t="s">
        <v>128</v>
      </c>
      <c r="G11" s="27" t="s">
        <v>129</v>
      </c>
      <c r="H11" s="5" t="s">
        <v>130</v>
      </c>
      <c r="I11" s="5" t="s">
        <v>131</v>
      </c>
      <c r="J11" s="5" t="s">
        <v>92</v>
      </c>
      <c r="K11" s="5" t="s">
        <v>132</v>
      </c>
      <c r="L11" s="6">
        <v>3</v>
      </c>
      <c r="M11" s="5" t="s">
        <v>133</v>
      </c>
      <c r="N11" s="5" t="s">
        <v>134</v>
      </c>
      <c r="O11" s="5"/>
      <c r="P11" s="5" t="s">
        <v>135</v>
      </c>
      <c r="Q11" s="5"/>
    </row>
    <row r="12" spans="1:17" ht="72" customHeight="1">
      <c r="A12" s="28" t="s">
        <v>26</v>
      </c>
      <c r="B12" s="29">
        <v>46099</v>
      </c>
      <c r="C12" s="28" t="s">
        <v>136</v>
      </c>
      <c r="D12" s="28" t="s">
        <v>137</v>
      </c>
      <c r="E12" s="28" t="s">
        <v>51</v>
      </c>
      <c r="F12" s="28" t="s">
        <v>128</v>
      </c>
      <c r="G12" s="27" t="s">
        <v>129</v>
      </c>
      <c r="H12" s="5" t="s">
        <v>138</v>
      </c>
      <c r="I12" s="5" t="s">
        <v>139</v>
      </c>
      <c r="J12" s="5" t="s">
        <v>92</v>
      </c>
      <c r="K12" s="5" t="s">
        <v>140</v>
      </c>
      <c r="L12" s="6">
        <v>3</v>
      </c>
      <c r="M12" s="5" t="s">
        <v>133</v>
      </c>
      <c r="N12" s="5" t="s">
        <v>141</v>
      </c>
      <c r="O12" s="5"/>
      <c r="P12" s="5" t="s">
        <v>142</v>
      </c>
      <c r="Q12" s="5"/>
    </row>
    <row r="13" spans="1:17" ht="72" customHeight="1">
      <c r="A13" s="28" t="s">
        <v>26</v>
      </c>
      <c r="B13" s="29">
        <v>46094</v>
      </c>
      <c r="C13" s="28" t="s">
        <v>143</v>
      </c>
      <c r="D13" s="28" t="s">
        <v>144</v>
      </c>
      <c r="E13" s="28" t="s">
        <v>51</v>
      </c>
      <c r="F13" s="28" t="s">
        <v>19</v>
      </c>
      <c r="G13" s="27" t="s">
        <v>20</v>
      </c>
      <c r="H13" s="5" t="s">
        <v>146</v>
      </c>
      <c r="I13" s="5"/>
      <c r="J13" s="5" t="s">
        <v>55</v>
      </c>
      <c r="K13" s="5" t="s">
        <v>103</v>
      </c>
      <c r="L13" s="6">
        <v>3</v>
      </c>
      <c r="M13" s="5" t="s">
        <v>94</v>
      </c>
      <c r="N13" s="5" t="s">
        <v>147</v>
      </c>
      <c r="O13" s="5"/>
      <c r="P13" s="5" t="s">
        <v>148</v>
      </c>
      <c r="Q13" s="5"/>
    </row>
    <row r="14" spans="1:17" ht="72" customHeight="1">
      <c r="A14" s="28" t="s">
        <v>26</v>
      </c>
      <c r="B14" s="29">
        <v>46094</v>
      </c>
      <c r="C14" s="28" t="s">
        <v>149</v>
      </c>
      <c r="D14" s="28" t="s">
        <v>150</v>
      </c>
      <c r="E14" s="28" t="s">
        <v>51</v>
      </c>
      <c r="F14" s="28" t="s">
        <v>19</v>
      </c>
      <c r="G14" s="27" t="s">
        <v>20</v>
      </c>
      <c r="H14" s="5" t="s">
        <v>151</v>
      </c>
      <c r="I14" s="5" t="s">
        <v>152</v>
      </c>
      <c r="J14" s="5" t="s">
        <v>55</v>
      </c>
      <c r="K14" s="5" t="s">
        <v>153</v>
      </c>
      <c r="L14" s="6">
        <v>3</v>
      </c>
      <c r="M14" s="5" t="s">
        <v>83</v>
      </c>
      <c r="N14" s="5" t="s">
        <v>154</v>
      </c>
      <c r="O14" s="5"/>
      <c r="P14" s="5" t="s">
        <v>155</v>
      </c>
      <c r="Q14" s="5"/>
    </row>
    <row r="15" spans="1:17" ht="72" customHeight="1">
      <c r="A15" s="28" t="s">
        <v>26</v>
      </c>
      <c r="B15" s="29">
        <v>46093</v>
      </c>
      <c r="C15" s="28" t="s">
        <v>156</v>
      </c>
      <c r="D15" s="28" t="s">
        <v>157</v>
      </c>
      <c r="E15" s="28" t="s">
        <v>51</v>
      </c>
      <c r="F15" s="28" t="s">
        <v>16</v>
      </c>
      <c r="G15" s="27" t="s">
        <v>17</v>
      </c>
      <c r="H15" s="5" t="s">
        <v>158</v>
      </c>
      <c r="I15" s="5" t="s">
        <v>159</v>
      </c>
      <c r="J15" s="5" t="s">
        <v>123</v>
      </c>
      <c r="K15" s="5" t="s">
        <v>73</v>
      </c>
      <c r="L15" s="6">
        <v>3</v>
      </c>
      <c r="M15" s="5" t="s">
        <v>83</v>
      </c>
      <c r="N15" s="5" t="s">
        <v>160</v>
      </c>
      <c r="O15" s="5"/>
      <c r="P15" s="5" t="s">
        <v>161</v>
      </c>
      <c r="Q15" s="5"/>
    </row>
    <row r="16" spans="1:17" ht="72" customHeight="1">
      <c r="A16" s="28" t="s">
        <v>26</v>
      </c>
      <c r="B16" s="29">
        <v>46092</v>
      </c>
      <c r="C16" s="28" t="s">
        <v>162</v>
      </c>
      <c r="D16" s="28" t="s">
        <v>163</v>
      </c>
      <c r="E16" s="28" t="s">
        <v>51</v>
      </c>
      <c r="F16" s="28" t="s">
        <v>11</v>
      </c>
      <c r="G16" s="27" t="s">
        <v>12</v>
      </c>
      <c r="H16" s="5" t="s">
        <v>164</v>
      </c>
      <c r="I16" s="5" t="s">
        <v>165</v>
      </c>
      <c r="J16" s="5" t="s">
        <v>166</v>
      </c>
      <c r="K16" s="5" t="s">
        <v>167</v>
      </c>
      <c r="L16" s="6">
        <v>3</v>
      </c>
      <c r="M16" s="5" t="s">
        <v>83</v>
      </c>
      <c r="N16" s="5" t="s">
        <v>168</v>
      </c>
      <c r="O16" s="5"/>
      <c r="P16" s="5" t="s">
        <v>169</v>
      </c>
      <c r="Q16" s="5"/>
    </row>
    <row r="17" spans="1:17" ht="72" customHeight="1">
      <c r="A17" s="28" t="s">
        <v>25</v>
      </c>
      <c r="B17" s="29">
        <v>46081</v>
      </c>
      <c r="C17" s="28" t="s">
        <v>170</v>
      </c>
      <c r="D17" s="28" t="s">
        <v>171</v>
      </c>
      <c r="E17" s="28" t="s">
        <v>51</v>
      </c>
      <c r="F17" s="28" t="s">
        <v>128</v>
      </c>
      <c r="G17" s="27" t="s">
        <v>129</v>
      </c>
      <c r="H17" s="5" t="s">
        <v>172</v>
      </c>
      <c r="I17" s="5" t="s">
        <v>131</v>
      </c>
      <c r="J17" s="5" t="s">
        <v>92</v>
      </c>
      <c r="K17" s="5" t="s">
        <v>173</v>
      </c>
      <c r="L17" s="6">
        <v>3</v>
      </c>
      <c r="M17" s="5" t="s">
        <v>94</v>
      </c>
      <c r="N17" s="5" t="s">
        <v>174</v>
      </c>
      <c r="O17" s="5"/>
      <c r="P17" s="5" t="s">
        <v>175</v>
      </c>
      <c r="Q17" s="5"/>
    </row>
    <row r="18" spans="1:17" ht="72" customHeight="1">
      <c r="A18" s="28" t="s">
        <v>25</v>
      </c>
      <c r="B18" s="29">
        <v>46079</v>
      </c>
      <c r="C18" s="28" t="s">
        <v>176</v>
      </c>
      <c r="D18" s="28" t="s">
        <v>177</v>
      </c>
      <c r="E18" s="28" t="s">
        <v>51</v>
      </c>
      <c r="F18" s="28" t="s">
        <v>16</v>
      </c>
      <c r="G18" s="27" t="s">
        <v>17</v>
      </c>
      <c r="H18" s="5" t="s">
        <v>178</v>
      </c>
      <c r="I18" s="5" t="s">
        <v>179</v>
      </c>
      <c r="J18" s="5" t="s">
        <v>92</v>
      </c>
      <c r="K18" s="5" t="s">
        <v>103</v>
      </c>
      <c r="L18" s="6">
        <v>3</v>
      </c>
      <c r="M18" s="5" t="s">
        <v>133</v>
      </c>
      <c r="N18" s="5" t="s">
        <v>180</v>
      </c>
      <c r="O18" s="5"/>
      <c r="P18" s="5" t="s">
        <v>181</v>
      </c>
      <c r="Q18" s="5"/>
    </row>
    <row r="19" spans="1:17" ht="72" customHeight="1">
      <c r="A19" s="28" t="s">
        <v>25</v>
      </c>
      <c r="B19" s="29">
        <v>46056</v>
      </c>
      <c r="C19" s="28" t="s">
        <v>182</v>
      </c>
      <c r="D19" s="28" t="s">
        <v>183</v>
      </c>
      <c r="E19" s="28" t="s">
        <v>51</v>
      </c>
      <c r="F19" s="28" t="s">
        <v>11</v>
      </c>
      <c r="G19" s="27" t="s">
        <v>12</v>
      </c>
      <c r="H19" s="5" t="s">
        <v>101</v>
      </c>
      <c r="I19" s="5" t="s">
        <v>102</v>
      </c>
      <c r="J19" s="5" t="s">
        <v>92</v>
      </c>
      <c r="K19" s="5" t="s">
        <v>103</v>
      </c>
      <c r="L19" s="6">
        <v>3</v>
      </c>
      <c r="M19" s="5" t="s">
        <v>133</v>
      </c>
      <c r="N19" s="5" t="s">
        <v>184</v>
      </c>
      <c r="O19" s="5"/>
      <c r="P19" s="5" t="s">
        <v>185</v>
      </c>
      <c r="Q19" s="5"/>
    </row>
    <row r="20" spans="1:17" ht="72" customHeight="1">
      <c r="A20" s="28" t="s">
        <v>24</v>
      </c>
      <c r="B20" s="29">
        <v>46052</v>
      </c>
      <c r="C20" s="28" t="s">
        <v>186</v>
      </c>
      <c r="D20" s="28" t="s">
        <v>187</v>
      </c>
      <c r="E20" s="28" t="s">
        <v>51</v>
      </c>
      <c r="F20" s="28" t="s">
        <v>108</v>
      </c>
      <c r="G20" s="27" t="s">
        <v>109</v>
      </c>
      <c r="H20" s="5" t="s">
        <v>188</v>
      </c>
      <c r="I20" s="5" t="s">
        <v>189</v>
      </c>
      <c r="J20" s="5" t="s">
        <v>92</v>
      </c>
      <c r="K20" s="5" t="s">
        <v>73</v>
      </c>
      <c r="L20" s="6">
        <v>3</v>
      </c>
      <c r="M20" s="5" t="s">
        <v>94</v>
      </c>
      <c r="N20" s="5" t="s">
        <v>190</v>
      </c>
      <c r="O20" s="5"/>
      <c r="P20" s="5" t="s">
        <v>191</v>
      </c>
      <c r="Q20" s="5"/>
    </row>
    <row r="21" spans="1:17" ht="72" customHeight="1">
      <c r="A21" s="28" t="s">
        <v>24</v>
      </c>
      <c r="B21" s="29">
        <v>46052</v>
      </c>
      <c r="C21" s="28" t="s">
        <v>192</v>
      </c>
      <c r="D21" s="28" t="s">
        <v>193</v>
      </c>
      <c r="E21" s="28" t="s">
        <v>51</v>
      </c>
      <c r="F21" s="28" t="s">
        <v>108</v>
      </c>
      <c r="G21" s="27" t="s">
        <v>109</v>
      </c>
      <c r="H21" s="5" t="s">
        <v>188</v>
      </c>
      <c r="I21" s="5" t="s">
        <v>194</v>
      </c>
      <c r="J21" s="5" t="s">
        <v>92</v>
      </c>
      <c r="K21" s="5" t="s">
        <v>167</v>
      </c>
      <c r="L21" s="6">
        <v>3</v>
      </c>
      <c r="M21" s="5" t="s">
        <v>94</v>
      </c>
      <c r="N21" s="5" t="s">
        <v>195</v>
      </c>
      <c r="O21" s="5"/>
      <c r="P21" s="5" t="s">
        <v>196</v>
      </c>
      <c r="Q21" s="5"/>
    </row>
    <row r="22" spans="1:17" ht="72" customHeight="1">
      <c r="A22" s="28" t="s">
        <v>24</v>
      </c>
      <c r="B22" s="29">
        <v>46050</v>
      </c>
      <c r="C22" s="28" t="s">
        <v>197</v>
      </c>
      <c r="D22" s="28" t="s">
        <v>198</v>
      </c>
      <c r="E22" s="28" t="s">
        <v>51</v>
      </c>
      <c r="F22" s="28" t="s">
        <v>11</v>
      </c>
      <c r="G22" s="27" t="s">
        <v>12</v>
      </c>
      <c r="H22" s="5" t="s">
        <v>110</v>
      </c>
      <c r="I22" s="5" t="s">
        <v>111</v>
      </c>
      <c r="J22" s="5" t="s">
        <v>92</v>
      </c>
      <c r="K22" s="5" t="s">
        <v>103</v>
      </c>
      <c r="L22" s="6">
        <v>3</v>
      </c>
      <c r="M22" s="5" t="s">
        <v>94</v>
      </c>
      <c r="N22" s="5" t="s">
        <v>199</v>
      </c>
      <c r="O22" s="5"/>
      <c r="P22" s="5" t="s">
        <v>200</v>
      </c>
      <c r="Q22" s="5"/>
    </row>
    <row r="23" spans="1:17" ht="72" customHeight="1">
      <c r="A23" s="28" t="s">
        <v>24</v>
      </c>
      <c r="B23" s="29">
        <v>46049</v>
      </c>
      <c r="C23" s="28" t="s">
        <v>201</v>
      </c>
      <c r="D23" s="28" t="s">
        <v>202</v>
      </c>
      <c r="E23" s="28" t="s">
        <v>51</v>
      </c>
      <c r="F23" s="28" t="s">
        <v>128</v>
      </c>
      <c r="G23" s="27" t="s">
        <v>129</v>
      </c>
      <c r="H23" s="5" t="s">
        <v>203</v>
      </c>
      <c r="I23" s="5" t="s">
        <v>204</v>
      </c>
      <c r="J23" s="5" t="s">
        <v>92</v>
      </c>
      <c r="K23" s="5" t="s">
        <v>205</v>
      </c>
      <c r="L23" s="6">
        <v>3</v>
      </c>
      <c r="M23" s="5" t="s">
        <v>133</v>
      </c>
      <c r="N23" s="5" t="s">
        <v>206</v>
      </c>
      <c r="O23" s="5"/>
      <c r="P23" s="5" t="s">
        <v>207</v>
      </c>
      <c r="Q23" s="5"/>
    </row>
    <row r="24" spans="1:17" ht="72" customHeight="1">
      <c r="A24" s="28" t="s">
        <v>24</v>
      </c>
      <c r="B24" s="29">
        <v>46035</v>
      </c>
      <c r="C24" s="28" t="s">
        <v>208</v>
      </c>
      <c r="D24" s="28" t="s">
        <v>209</v>
      </c>
      <c r="E24" s="28" t="s">
        <v>51</v>
      </c>
      <c r="F24" s="28" t="s">
        <v>16</v>
      </c>
      <c r="G24" s="27" t="s">
        <v>17</v>
      </c>
      <c r="H24" s="5" t="s">
        <v>178</v>
      </c>
      <c r="I24" s="5" t="s">
        <v>179</v>
      </c>
      <c r="J24" s="5" t="s">
        <v>92</v>
      </c>
      <c r="K24" s="5" t="s">
        <v>103</v>
      </c>
      <c r="L24" s="6">
        <v>3</v>
      </c>
      <c r="M24" s="5" t="s">
        <v>94</v>
      </c>
      <c r="N24" s="5" t="s">
        <v>210</v>
      </c>
      <c r="O24" s="5"/>
      <c r="P24" s="5" t="s">
        <v>211</v>
      </c>
      <c r="Q24" s="5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showGridLines="0" workbookViewId="0"/>
  </sheetViews>
  <sheetFormatPr baseColWidth="10" defaultColWidth="8.83203125" defaultRowHeight="14"/>
  <cols>
    <col min="1" max="1" width="30" customWidth="1"/>
    <col min="2" max="2" width="12" customWidth="1"/>
    <col min="3" max="6" width="34" customWidth="1"/>
    <col min="7" max="8" width="60" customWidth="1"/>
  </cols>
  <sheetData>
    <row r="1" spans="1:8" ht="34" customHeight="1">
      <c r="A1" s="2" t="s">
        <v>5</v>
      </c>
      <c r="B1" s="2" t="s">
        <v>6</v>
      </c>
      <c r="C1" s="2" t="s">
        <v>7</v>
      </c>
      <c r="D1" s="2" t="s">
        <v>8</v>
      </c>
      <c r="E1" s="2" t="s">
        <v>212</v>
      </c>
      <c r="F1" s="2" t="s">
        <v>38</v>
      </c>
      <c r="G1" s="2" t="s">
        <v>213</v>
      </c>
      <c r="H1" s="2" t="s">
        <v>214</v>
      </c>
    </row>
    <row r="2" spans="1:8" ht="64" customHeight="1">
      <c r="A2" s="3" t="s">
        <v>11</v>
      </c>
      <c r="B2" s="7">
        <v>14</v>
      </c>
      <c r="C2" s="5" t="s">
        <v>12</v>
      </c>
      <c r="D2" s="5" t="s">
        <v>13</v>
      </c>
      <c r="E2" s="5" t="s">
        <v>63</v>
      </c>
      <c r="F2" s="5" t="s">
        <v>51</v>
      </c>
      <c r="G2" s="5" t="s">
        <v>215</v>
      </c>
      <c r="H2" s="5" t="s">
        <v>216</v>
      </c>
    </row>
    <row r="3" spans="1:8" ht="64" customHeight="1">
      <c r="A3" s="3" t="s">
        <v>16</v>
      </c>
      <c r="B3" s="7">
        <v>11</v>
      </c>
      <c r="C3" s="5" t="s">
        <v>17</v>
      </c>
      <c r="D3" s="5" t="s">
        <v>18</v>
      </c>
      <c r="E3" s="5" t="s">
        <v>79</v>
      </c>
      <c r="F3" s="5" t="s">
        <v>51</v>
      </c>
      <c r="G3" s="5" t="s">
        <v>217</v>
      </c>
      <c r="H3" s="5" t="s">
        <v>218</v>
      </c>
    </row>
    <row r="4" spans="1:8" ht="64" customHeight="1">
      <c r="A4" s="3" t="s">
        <v>19</v>
      </c>
      <c r="B4" s="7">
        <v>7</v>
      </c>
      <c r="C4" s="5" t="s">
        <v>20</v>
      </c>
      <c r="D4" s="5" t="s">
        <v>21</v>
      </c>
      <c r="E4" s="5" t="s">
        <v>145</v>
      </c>
      <c r="F4" s="5" t="s">
        <v>51</v>
      </c>
      <c r="G4" s="5" t="s">
        <v>219</v>
      </c>
      <c r="H4" s="5" t="s">
        <v>220</v>
      </c>
    </row>
    <row r="5" spans="1:8" ht="64" customHeight="1">
      <c r="A5" s="3" t="s">
        <v>52</v>
      </c>
      <c r="B5" s="7">
        <v>1</v>
      </c>
      <c r="C5" s="5"/>
      <c r="D5" s="5"/>
      <c r="E5" s="5"/>
      <c r="F5" s="5" t="s">
        <v>51</v>
      </c>
      <c r="G5" s="5" t="s">
        <v>49</v>
      </c>
      <c r="H5" s="5" t="s">
        <v>50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showGridLines="0" workbookViewId="0"/>
  </sheetViews>
  <sheetFormatPr baseColWidth="10" defaultColWidth="8.83203125" defaultRowHeight="14"/>
  <cols>
    <col min="1" max="1" width="12" customWidth="1"/>
    <col min="2" max="2" width="38" customWidth="1"/>
    <col min="3" max="3" width="25" customWidth="1"/>
    <col min="4" max="4" width="18" customWidth="1"/>
    <col min="5" max="5" width="90" customWidth="1"/>
  </cols>
  <sheetData>
    <row r="1" spans="1:5" ht="34" customHeight="1">
      <c r="A1" s="2" t="s">
        <v>35</v>
      </c>
      <c r="B1" s="2" t="s">
        <v>36</v>
      </c>
      <c r="C1" s="2" t="s">
        <v>37</v>
      </c>
      <c r="D1" s="2" t="s">
        <v>44</v>
      </c>
      <c r="E1" s="2" t="s">
        <v>221</v>
      </c>
    </row>
    <row r="2" spans="1:5" ht="42" customHeight="1">
      <c r="A2" s="4">
        <v>46212</v>
      </c>
      <c r="B2" s="5" t="s">
        <v>49</v>
      </c>
      <c r="C2" s="5" t="s">
        <v>50</v>
      </c>
      <c r="D2" s="5" t="s">
        <v>222</v>
      </c>
      <c r="E2" s="5" t="s">
        <v>223</v>
      </c>
    </row>
    <row r="3" spans="1:5" ht="42" customHeight="1">
      <c r="A3" s="4">
        <v>46212</v>
      </c>
      <c r="B3" s="5" t="s">
        <v>49</v>
      </c>
      <c r="C3" s="5" t="s">
        <v>50</v>
      </c>
      <c r="D3" s="5" t="s">
        <v>224</v>
      </c>
      <c r="E3" s="5" t="s">
        <v>225</v>
      </c>
    </row>
    <row r="4" spans="1:5" ht="42" customHeight="1">
      <c r="A4" s="4">
        <v>46212</v>
      </c>
      <c r="B4" s="5" t="s">
        <v>49</v>
      </c>
      <c r="C4" s="5" t="s">
        <v>50</v>
      </c>
      <c r="D4" s="5" t="s">
        <v>226</v>
      </c>
      <c r="E4" s="5" t="s">
        <v>227</v>
      </c>
    </row>
    <row r="5" spans="1:5" ht="42" customHeight="1">
      <c r="A5" s="4">
        <v>46142</v>
      </c>
      <c r="B5" s="5" t="s">
        <v>68</v>
      </c>
      <c r="C5" s="5" t="s">
        <v>69</v>
      </c>
      <c r="D5" s="5" t="s">
        <v>224</v>
      </c>
      <c r="E5" s="5" t="s">
        <v>228</v>
      </c>
    </row>
    <row r="6" spans="1:5" ht="42" customHeight="1">
      <c r="A6" s="4">
        <v>46142</v>
      </c>
      <c r="B6" s="5" t="s">
        <v>68</v>
      </c>
      <c r="C6" s="5" t="s">
        <v>69</v>
      </c>
      <c r="D6" s="5" t="s">
        <v>222</v>
      </c>
      <c r="E6" s="5" t="s">
        <v>229</v>
      </c>
    </row>
    <row r="7" spans="1:5" ht="42" customHeight="1">
      <c r="A7" s="4">
        <v>46142</v>
      </c>
      <c r="B7" s="5" t="s">
        <v>68</v>
      </c>
      <c r="C7" s="5" t="s">
        <v>69</v>
      </c>
      <c r="D7" s="5" t="s">
        <v>226</v>
      </c>
      <c r="E7" s="5" t="s">
        <v>230</v>
      </c>
    </row>
    <row r="8" spans="1:5" ht="42" customHeight="1">
      <c r="A8" s="4">
        <v>46129</v>
      </c>
      <c r="B8" s="5" t="s">
        <v>77</v>
      </c>
      <c r="C8" s="5" t="s">
        <v>78</v>
      </c>
      <c r="D8" s="5" t="s">
        <v>224</v>
      </c>
      <c r="E8" s="5" t="s">
        <v>231</v>
      </c>
    </row>
    <row r="9" spans="1:5" ht="42" customHeight="1">
      <c r="A9" s="4">
        <v>46129</v>
      </c>
      <c r="B9" s="5" t="s">
        <v>77</v>
      </c>
      <c r="C9" s="5" t="s">
        <v>78</v>
      </c>
      <c r="D9" s="5" t="s">
        <v>226</v>
      </c>
      <c r="E9" s="5" t="s">
        <v>232</v>
      </c>
    </row>
    <row r="10" spans="1:5" ht="42" customHeight="1">
      <c r="A10" s="4">
        <v>46129</v>
      </c>
      <c r="B10" s="5" t="s">
        <v>77</v>
      </c>
      <c r="C10" s="5" t="s">
        <v>78</v>
      </c>
      <c r="D10" s="5" t="s">
        <v>222</v>
      </c>
      <c r="E10" s="5" t="s">
        <v>233</v>
      </c>
    </row>
    <row r="11" spans="1:5" ht="42" customHeight="1">
      <c r="A11" s="4">
        <v>46129</v>
      </c>
      <c r="B11" s="5" t="s">
        <v>77</v>
      </c>
      <c r="C11" s="5" t="s">
        <v>78</v>
      </c>
      <c r="D11" s="5" t="s">
        <v>224</v>
      </c>
      <c r="E11" s="5" t="s">
        <v>234</v>
      </c>
    </row>
    <row r="12" spans="1:5" ht="42" customHeight="1">
      <c r="A12" s="4">
        <v>46129</v>
      </c>
      <c r="B12" s="5" t="s">
        <v>77</v>
      </c>
      <c r="C12" s="5" t="s">
        <v>78</v>
      </c>
      <c r="D12" s="5" t="s">
        <v>226</v>
      </c>
      <c r="E12" s="5" t="s">
        <v>235</v>
      </c>
    </row>
    <row r="13" spans="1:5" ht="42" customHeight="1">
      <c r="A13" s="4">
        <v>46128</v>
      </c>
      <c r="B13" s="5" t="s">
        <v>86</v>
      </c>
      <c r="C13" s="5" t="s">
        <v>87</v>
      </c>
      <c r="D13" s="5" t="s">
        <v>226</v>
      </c>
      <c r="E13" s="5" t="s">
        <v>236</v>
      </c>
    </row>
    <row r="14" spans="1:5" ht="42" customHeight="1">
      <c r="A14" s="4">
        <v>46128</v>
      </c>
      <c r="B14" s="5" t="s">
        <v>86</v>
      </c>
      <c r="C14" s="5" t="s">
        <v>87</v>
      </c>
      <c r="D14" s="5" t="s">
        <v>224</v>
      </c>
      <c r="E14" s="5" t="s">
        <v>237</v>
      </c>
    </row>
    <row r="15" spans="1:5" ht="42" customHeight="1">
      <c r="A15" s="4">
        <v>46128</v>
      </c>
      <c r="B15" s="5" t="s">
        <v>86</v>
      </c>
      <c r="C15" s="5" t="s">
        <v>87</v>
      </c>
      <c r="D15" s="5" t="s">
        <v>222</v>
      </c>
      <c r="E15" s="5" t="s">
        <v>238</v>
      </c>
    </row>
    <row r="16" spans="1:5" ht="42" customHeight="1">
      <c r="A16" s="4">
        <v>46127</v>
      </c>
      <c r="B16" s="5" t="s">
        <v>97</v>
      </c>
      <c r="C16" s="5" t="s">
        <v>98</v>
      </c>
      <c r="D16" s="5" t="s">
        <v>222</v>
      </c>
      <c r="E16" s="5" t="s">
        <v>239</v>
      </c>
    </row>
    <row r="17" spans="1:5" ht="42" customHeight="1">
      <c r="A17" s="4">
        <v>46127</v>
      </c>
      <c r="B17" s="5" t="s">
        <v>97</v>
      </c>
      <c r="C17" s="5" t="s">
        <v>98</v>
      </c>
      <c r="D17" s="5" t="s">
        <v>224</v>
      </c>
      <c r="E17" s="5" t="s">
        <v>240</v>
      </c>
    </row>
    <row r="18" spans="1:5" ht="42" customHeight="1">
      <c r="A18" s="4">
        <v>46127</v>
      </c>
      <c r="B18" s="5" t="s">
        <v>97</v>
      </c>
      <c r="C18" s="5" t="s">
        <v>98</v>
      </c>
      <c r="D18" s="5" t="s">
        <v>226</v>
      </c>
      <c r="E18" s="5" t="s">
        <v>241</v>
      </c>
    </row>
    <row r="19" spans="1:5" ht="42" customHeight="1">
      <c r="A19" s="4">
        <v>46127</v>
      </c>
      <c r="B19" s="5" t="s">
        <v>106</v>
      </c>
      <c r="C19" s="5" t="s">
        <v>107</v>
      </c>
      <c r="D19" s="5" t="s">
        <v>226</v>
      </c>
      <c r="E19" s="5" t="s">
        <v>242</v>
      </c>
    </row>
    <row r="20" spans="1:5" ht="42" customHeight="1">
      <c r="A20" s="4">
        <v>46127</v>
      </c>
      <c r="B20" s="5" t="s">
        <v>106</v>
      </c>
      <c r="C20" s="5" t="s">
        <v>107</v>
      </c>
      <c r="D20" s="5" t="s">
        <v>222</v>
      </c>
      <c r="E20" s="5" t="s">
        <v>243</v>
      </c>
    </row>
    <row r="21" spans="1:5" ht="42" customHeight="1">
      <c r="A21" s="4">
        <v>46127</v>
      </c>
      <c r="B21" s="5" t="s">
        <v>106</v>
      </c>
      <c r="C21" s="5" t="s">
        <v>107</v>
      </c>
      <c r="D21" s="5" t="s">
        <v>224</v>
      </c>
      <c r="E21" s="5" t="s">
        <v>244</v>
      </c>
    </row>
    <row r="22" spans="1:5" ht="42" customHeight="1">
      <c r="A22" s="4">
        <v>46115</v>
      </c>
      <c r="B22" s="5" t="s">
        <v>119</v>
      </c>
      <c r="C22" s="5" t="s">
        <v>120</v>
      </c>
      <c r="D22" s="5" t="s">
        <v>222</v>
      </c>
      <c r="E22" s="5" t="s">
        <v>245</v>
      </c>
    </row>
    <row r="23" spans="1:5" ht="42" customHeight="1">
      <c r="A23" s="4">
        <v>46115</v>
      </c>
      <c r="B23" s="5" t="s">
        <v>119</v>
      </c>
      <c r="C23" s="5" t="s">
        <v>120</v>
      </c>
      <c r="D23" s="5" t="s">
        <v>224</v>
      </c>
      <c r="E23" s="5" t="s">
        <v>246</v>
      </c>
    </row>
    <row r="24" spans="1:5" ht="42" customHeight="1">
      <c r="A24" s="4">
        <v>46115</v>
      </c>
      <c r="B24" s="5" t="s">
        <v>119</v>
      </c>
      <c r="C24" s="5" t="s">
        <v>120</v>
      </c>
      <c r="D24" s="5" t="s">
        <v>226</v>
      </c>
      <c r="E24" s="5" t="s">
        <v>247</v>
      </c>
    </row>
    <row r="25" spans="1:5" ht="42" customHeight="1">
      <c r="A25" s="4">
        <v>46112</v>
      </c>
      <c r="B25" s="5" t="s">
        <v>126</v>
      </c>
      <c r="C25" s="5" t="s">
        <v>127</v>
      </c>
      <c r="D25" s="5" t="s">
        <v>222</v>
      </c>
      <c r="E25" s="5" t="s">
        <v>248</v>
      </c>
    </row>
    <row r="26" spans="1:5" ht="42" customHeight="1">
      <c r="A26" s="4">
        <v>46112</v>
      </c>
      <c r="B26" s="5" t="s">
        <v>126</v>
      </c>
      <c r="C26" s="5" t="s">
        <v>127</v>
      </c>
      <c r="D26" s="5" t="s">
        <v>226</v>
      </c>
      <c r="E26" s="5" t="s">
        <v>249</v>
      </c>
    </row>
    <row r="27" spans="1:5" ht="42" customHeight="1">
      <c r="A27" s="4">
        <v>46112</v>
      </c>
      <c r="B27" s="5" t="s">
        <v>126</v>
      </c>
      <c r="C27" s="5" t="s">
        <v>127</v>
      </c>
      <c r="D27" s="5" t="s">
        <v>224</v>
      </c>
      <c r="E27" s="5" t="s">
        <v>250</v>
      </c>
    </row>
    <row r="28" spans="1:5" ht="42" customHeight="1">
      <c r="A28" s="4">
        <v>46099</v>
      </c>
      <c r="B28" s="5" t="s">
        <v>136</v>
      </c>
      <c r="C28" s="5" t="s">
        <v>137</v>
      </c>
      <c r="D28" s="5" t="s">
        <v>222</v>
      </c>
      <c r="E28" s="5" t="s">
        <v>251</v>
      </c>
    </row>
    <row r="29" spans="1:5" ht="42" customHeight="1">
      <c r="A29" s="4">
        <v>46099</v>
      </c>
      <c r="B29" s="5" t="s">
        <v>136</v>
      </c>
      <c r="C29" s="5" t="s">
        <v>137</v>
      </c>
      <c r="D29" s="5" t="s">
        <v>226</v>
      </c>
      <c r="E29" s="5" t="s">
        <v>252</v>
      </c>
    </row>
    <row r="30" spans="1:5" ht="42" customHeight="1">
      <c r="A30" s="4">
        <v>46099</v>
      </c>
      <c r="B30" s="5" t="s">
        <v>136</v>
      </c>
      <c r="C30" s="5" t="s">
        <v>137</v>
      </c>
      <c r="D30" s="5" t="s">
        <v>224</v>
      </c>
      <c r="E30" s="5" t="s">
        <v>253</v>
      </c>
    </row>
    <row r="31" spans="1:5" ht="42" customHeight="1">
      <c r="A31" s="4">
        <v>46094</v>
      </c>
      <c r="B31" s="5" t="s">
        <v>143</v>
      </c>
      <c r="C31" s="5" t="s">
        <v>144</v>
      </c>
      <c r="D31" s="5" t="s">
        <v>226</v>
      </c>
      <c r="E31" s="5" t="s">
        <v>254</v>
      </c>
    </row>
    <row r="32" spans="1:5" ht="42" customHeight="1">
      <c r="A32" s="4">
        <v>46094</v>
      </c>
      <c r="B32" s="5" t="s">
        <v>143</v>
      </c>
      <c r="C32" s="5" t="s">
        <v>144</v>
      </c>
      <c r="D32" s="5" t="s">
        <v>224</v>
      </c>
      <c r="E32" s="5" t="s">
        <v>255</v>
      </c>
    </row>
    <row r="33" spans="1:5" ht="42" customHeight="1">
      <c r="A33" s="4">
        <v>46094</v>
      </c>
      <c r="B33" s="5" t="s">
        <v>143</v>
      </c>
      <c r="C33" s="5" t="s">
        <v>144</v>
      </c>
      <c r="D33" s="5" t="s">
        <v>222</v>
      </c>
      <c r="E33" s="5" t="s">
        <v>256</v>
      </c>
    </row>
    <row r="34" spans="1:5" ht="42" customHeight="1">
      <c r="A34" s="4">
        <v>46094</v>
      </c>
      <c r="B34" s="5" t="s">
        <v>149</v>
      </c>
      <c r="C34" s="5" t="s">
        <v>150</v>
      </c>
      <c r="D34" s="5" t="s">
        <v>224</v>
      </c>
      <c r="E34" s="5" t="s">
        <v>257</v>
      </c>
    </row>
    <row r="35" spans="1:5" ht="42" customHeight="1">
      <c r="A35" s="4">
        <v>46094</v>
      </c>
      <c r="B35" s="5" t="s">
        <v>149</v>
      </c>
      <c r="C35" s="5" t="s">
        <v>150</v>
      </c>
      <c r="D35" s="5" t="s">
        <v>226</v>
      </c>
      <c r="E35" s="5" t="s">
        <v>258</v>
      </c>
    </row>
    <row r="36" spans="1:5" ht="42" customHeight="1">
      <c r="A36" s="4">
        <v>46094</v>
      </c>
      <c r="B36" s="5" t="s">
        <v>149</v>
      </c>
      <c r="C36" s="5" t="s">
        <v>150</v>
      </c>
      <c r="D36" s="5" t="s">
        <v>222</v>
      </c>
      <c r="E36" s="5" t="s">
        <v>259</v>
      </c>
    </row>
    <row r="37" spans="1:5" ht="42" customHeight="1">
      <c r="A37" s="4">
        <v>46093</v>
      </c>
      <c r="B37" s="5" t="s">
        <v>156</v>
      </c>
      <c r="C37" s="5" t="s">
        <v>157</v>
      </c>
      <c r="D37" s="5" t="s">
        <v>224</v>
      </c>
      <c r="E37" s="5" t="s">
        <v>260</v>
      </c>
    </row>
    <row r="38" spans="1:5" ht="42" customHeight="1">
      <c r="A38" s="4">
        <v>46093</v>
      </c>
      <c r="B38" s="5" t="s">
        <v>156</v>
      </c>
      <c r="C38" s="5" t="s">
        <v>157</v>
      </c>
      <c r="D38" s="5" t="s">
        <v>226</v>
      </c>
      <c r="E38" s="5" t="s">
        <v>261</v>
      </c>
    </row>
    <row r="39" spans="1:5" ht="42" customHeight="1">
      <c r="A39" s="4">
        <v>46093</v>
      </c>
      <c r="B39" s="5" t="s">
        <v>156</v>
      </c>
      <c r="C39" s="5" t="s">
        <v>157</v>
      </c>
      <c r="D39" s="5" t="s">
        <v>222</v>
      </c>
      <c r="E39" s="5" t="s">
        <v>262</v>
      </c>
    </row>
    <row r="40" spans="1:5" ht="42" customHeight="1">
      <c r="A40" s="4">
        <v>46092</v>
      </c>
      <c r="B40" s="5" t="s">
        <v>162</v>
      </c>
      <c r="C40" s="5" t="s">
        <v>163</v>
      </c>
      <c r="D40" s="5" t="s">
        <v>224</v>
      </c>
      <c r="E40" s="5" t="s">
        <v>263</v>
      </c>
    </row>
    <row r="41" spans="1:5" ht="42" customHeight="1">
      <c r="A41" s="4">
        <v>46092</v>
      </c>
      <c r="B41" s="5" t="s">
        <v>162</v>
      </c>
      <c r="C41" s="5" t="s">
        <v>163</v>
      </c>
      <c r="D41" s="5" t="s">
        <v>226</v>
      </c>
      <c r="E41" s="5" t="s">
        <v>264</v>
      </c>
    </row>
    <row r="42" spans="1:5" ht="42" customHeight="1">
      <c r="A42" s="4">
        <v>46092</v>
      </c>
      <c r="B42" s="5" t="s">
        <v>162</v>
      </c>
      <c r="C42" s="5" t="s">
        <v>163</v>
      </c>
      <c r="D42" s="5" t="s">
        <v>222</v>
      </c>
      <c r="E42" s="5" t="s">
        <v>265</v>
      </c>
    </row>
    <row r="43" spans="1:5" ht="42" customHeight="1">
      <c r="A43" s="4">
        <v>46081</v>
      </c>
      <c r="B43" s="5" t="s">
        <v>170</v>
      </c>
      <c r="C43" s="5" t="s">
        <v>171</v>
      </c>
      <c r="D43" s="5" t="s">
        <v>226</v>
      </c>
      <c r="E43" s="5" t="s">
        <v>266</v>
      </c>
    </row>
    <row r="44" spans="1:5" ht="42" customHeight="1">
      <c r="A44" s="4">
        <v>46081</v>
      </c>
      <c r="B44" s="5" t="s">
        <v>170</v>
      </c>
      <c r="C44" s="5" t="s">
        <v>171</v>
      </c>
      <c r="D44" s="5" t="s">
        <v>224</v>
      </c>
      <c r="E44" s="5" t="s">
        <v>267</v>
      </c>
    </row>
    <row r="45" spans="1:5" ht="42" customHeight="1">
      <c r="A45" s="4">
        <v>46081</v>
      </c>
      <c r="B45" s="5" t="s">
        <v>170</v>
      </c>
      <c r="C45" s="5" t="s">
        <v>171</v>
      </c>
      <c r="D45" s="5" t="s">
        <v>222</v>
      </c>
      <c r="E45" s="5" t="s">
        <v>268</v>
      </c>
    </row>
    <row r="46" spans="1:5" ht="42" customHeight="1">
      <c r="A46" s="4">
        <v>46079</v>
      </c>
      <c r="B46" s="5" t="s">
        <v>176</v>
      </c>
      <c r="C46" s="5" t="s">
        <v>177</v>
      </c>
      <c r="D46" s="5" t="s">
        <v>222</v>
      </c>
      <c r="E46" s="5" t="s">
        <v>269</v>
      </c>
    </row>
    <row r="47" spans="1:5" ht="42" customHeight="1">
      <c r="A47" s="4">
        <v>46079</v>
      </c>
      <c r="B47" s="5" t="s">
        <v>176</v>
      </c>
      <c r="C47" s="5" t="s">
        <v>177</v>
      </c>
      <c r="D47" s="5" t="s">
        <v>226</v>
      </c>
      <c r="E47" s="5" t="s">
        <v>270</v>
      </c>
    </row>
    <row r="48" spans="1:5" ht="42" customHeight="1">
      <c r="A48" s="4">
        <v>46079</v>
      </c>
      <c r="B48" s="5" t="s">
        <v>176</v>
      </c>
      <c r="C48" s="5" t="s">
        <v>177</v>
      </c>
      <c r="D48" s="5" t="s">
        <v>224</v>
      </c>
      <c r="E48" s="5" t="s">
        <v>271</v>
      </c>
    </row>
    <row r="49" spans="1:5" ht="42" customHeight="1">
      <c r="A49" s="4">
        <v>46056</v>
      </c>
      <c r="B49" s="5" t="s">
        <v>182</v>
      </c>
      <c r="C49" s="5" t="s">
        <v>183</v>
      </c>
      <c r="D49" s="5" t="s">
        <v>222</v>
      </c>
      <c r="E49" s="5" t="s">
        <v>272</v>
      </c>
    </row>
    <row r="50" spans="1:5" ht="42" customHeight="1">
      <c r="A50" s="4">
        <v>46056</v>
      </c>
      <c r="B50" s="5" t="s">
        <v>182</v>
      </c>
      <c r="C50" s="5" t="s">
        <v>183</v>
      </c>
      <c r="D50" s="5" t="s">
        <v>226</v>
      </c>
      <c r="E50" s="5" t="s">
        <v>273</v>
      </c>
    </row>
    <row r="51" spans="1:5" ht="42" customHeight="1">
      <c r="A51" s="4">
        <v>46056</v>
      </c>
      <c r="B51" s="5" t="s">
        <v>182</v>
      </c>
      <c r="C51" s="5" t="s">
        <v>183</v>
      </c>
      <c r="D51" s="5" t="s">
        <v>224</v>
      </c>
      <c r="E51" s="5" t="s">
        <v>274</v>
      </c>
    </row>
    <row r="52" spans="1:5" ht="42" customHeight="1">
      <c r="A52" s="4">
        <v>46052</v>
      </c>
      <c r="B52" s="5" t="s">
        <v>186</v>
      </c>
      <c r="C52" s="5" t="s">
        <v>187</v>
      </c>
      <c r="D52" s="5" t="s">
        <v>226</v>
      </c>
      <c r="E52" s="5" t="s">
        <v>275</v>
      </c>
    </row>
    <row r="53" spans="1:5" ht="42" customHeight="1">
      <c r="A53" s="4">
        <v>46052</v>
      </c>
      <c r="B53" s="5" t="s">
        <v>186</v>
      </c>
      <c r="C53" s="5" t="s">
        <v>187</v>
      </c>
      <c r="D53" s="5" t="s">
        <v>224</v>
      </c>
      <c r="E53" s="5" t="s">
        <v>276</v>
      </c>
    </row>
    <row r="54" spans="1:5" ht="42" customHeight="1">
      <c r="A54" s="4">
        <v>46052</v>
      </c>
      <c r="B54" s="5" t="s">
        <v>186</v>
      </c>
      <c r="C54" s="5" t="s">
        <v>187</v>
      </c>
      <c r="D54" s="5" t="s">
        <v>222</v>
      </c>
      <c r="E54" s="5" t="s">
        <v>277</v>
      </c>
    </row>
    <row r="55" spans="1:5" ht="42" customHeight="1">
      <c r="A55" s="4">
        <v>46052</v>
      </c>
      <c r="B55" s="5" t="s">
        <v>192</v>
      </c>
      <c r="C55" s="5" t="s">
        <v>193</v>
      </c>
      <c r="D55" s="5" t="s">
        <v>226</v>
      </c>
      <c r="E55" s="5" t="s">
        <v>278</v>
      </c>
    </row>
    <row r="56" spans="1:5" ht="42" customHeight="1">
      <c r="A56" s="4">
        <v>46052</v>
      </c>
      <c r="B56" s="5" t="s">
        <v>192</v>
      </c>
      <c r="C56" s="5" t="s">
        <v>193</v>
      </c>
      <c r="D56" s="5" t="s">
        <v>224</v>
      </c>
      <c r="E56" s="5" t="s">
        <v>279</v>
      </c>
    </row>
    <row r="57" spans="1:5" ht="42" customHeight="1">
      <c r="A57" s="4">
        <v>46052</v>
      </c>
      <c r="B57" s="5" t="s">
        <v>192</v>
      </c>
      <c r="C57" s="5" t="s">
        <v>193</v>
      </c>
      <c r="D57" s="5" t="s">
        <v>222</v>
      </c>
      <c r="E57" s="5" t="s">
        <v>280</v>
      </c>
    </row>
    <row r="58" spans="1:5" ht="42" customHeight="1">
      <c r="A58" s="4">
        <v>46050</v>
      </c>
      <c r="B58" s="5" t="s">
        <v>197</v>
      </c>
      <c r="C58" s="5" t="s">
        <v>198</v>
      </c>
      <c r="D58" s="5" t="s">
        <v>226</v>
      </c>
      <c r="E58" s="5" t="s">
        <v>281</v>
      </c>
    </row>
    <row r="59" spans="1:5" ht="42" customHeight="1">
      <c r="A59" s="4">
        <v>46050</v>
      </c>
      <c r="B59" s="5" t="s">
        <v>197</v>
      </c>
      <c r="C59" s="5" t="s">
        <v>198</v>
      </c>
      <c r="D59" s="5" t="s">
        <v>224</v>
      </c>
      <c r="E59" s="5" t="s">
        <v>282</v>
      </c>
    </row>
    <row r="60" spans="1:5" ht="42" customHeight="1">
      <c r="A60" s="4">
        <v>46050</v>
      </c>
      <c r="B60" s="5" t="s">
        <v>197</v>
      </c>
      <c r="C60" s="5" t="s">
        <v>198</v>
      </c>
      <c r="D60" s="5" t="s">
        <v>222</v>
      </c>
      <c r="E60" s="5" t="s">
        <v>283</v>
      </c>
    </row>
    <row r="61" spans="1:5" ht="42" customHeight="1">
      <c r="A61" s="4">
        <v>46049</v>
      </c>
      <c r="B61" s="5" t="s">
        <v>201</v>
      </c>
      <c r="C61" s="5" t="s">
        <v>202</v>
      </c>
      <c r="D61" s="5" t="s">
        <v>222</v>
      </c>
      <c r="E61" s="5" t="s">
        <v>284</v>
      </c>
    </row>
    <row r="62" spans="1:5" ht="42" customHeight="1">
      <c r="A62" s="4">
        <v>46049</v>
      </c>
      <c r="B62" s="5" t="s">
        <v>201</v>
      </c>
      <c r="C62" s="5" t="s">
        <v>202</v>
      </c>
      <c r="D62" s="5" t="s">
        <v>226</v>
      </c>
      <c r="E62" s="5" t="s">
        <v>285</v>
      </c>
    </row>
    <row r="63" spans="1:5" ht="42" customHeight="1">
      <c r="A63" s="4">
        <v>46049</v>
      </c>
      <c r="B63" s="5" t="s">
        <v>201</v>
      </c>
      <c r="C63" s="5" t="s">
        <v>202</v>
      </c>
      <c r="D63" s="5" t="s">
        <v>224</v>
      </c>
      <c r="E63" s="5" t="s">
        <v>286</v>
      </c>
    </row>
    <row r="64" spans="1:5" ht="42" customHeight="1">
      <c r="A64" s="4">
        <v>46035</v>
      </c>
      <c r="B64" s="5" t="s">
        <v>208</v>
      </c>
      <c r="C64" s="5" t="s">
        <v>209</v>
      </c>
      <c r="D64" s="5" t="s">
        <v>226</v>
      </c>
      <c r="E64" s="5" t="s">
        <v>287</v>
      </c>
    </row>
    <row r="65" spans="1:5" ht="42" customHeight="1">
      <c r="A65" s="4">
        <v>46035</v>
      </c>
      <c r="B65" s="5" t="s">
        <v>208</v>
      </c>
      <c r="C65" s="5" t="s">
        <v>209</v>
      </c>
      <c r="D65" s="5" t="s">
        <v>224</v>
      </c>
      <c r="E65" s="5" t="s">
        <v>288</v>
      </c>
    </row>
    <row r="66" spans="1:5" ht="42" customHeight="1">
      <c r="A66" s="4">
        <v>46035</v>
      </c>
      <c r="B66" s="5" t="s">
        <v>208</v>
      </c>
      <c r="C66" s="5" t="s">
        <v>209</v>
      </c>
      <c r="D66" s="5" t="s">
        <v>222</v>
      </c>
      <c r="E66" s="5" t="s">
        <v>289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showGridLines="0" workbookViewId="0">
      <selection activeCell="B16" sqref="B16"/>
    </sheetView>
  </sheetViews>
  <sheetFormatPr baseColWidth="10" defaultColWidth="8.83203125" defaultRowHeight="14"/>
  <cols>
    <col min="1" max="1" width="18" customWidth="1"/>
    <col min="2" max="2" width="100" customWidth="1"/>
  </cols>
  <sheetData>
    <row r="1" spans="1:4" ht="21">
      <c r="A1" s="23" t="s">
        <v>290</v>
      </c>
      <c r="B1" s="23"/>
      <c r="C1" s="23"/>
      <c r="D1" s="23"/>
    </row>
    <row r="2" spans="1:4">
      <c r="A2" s="24"/>
      <c r="B2" s="24"/>
      <c r="C2" s="24"/>
      <c r="D2" s="24"/>
    </row>
    <row r="3" spans="1:4" ht="54" customHeight="1">
      <c r="A3" s="1" t="s">
        <v>291</v>
      </c>
      <c r="B3" s="31" t="s">
        <v>292</v>
      </c>
      <c r="C3" s="24"/>
      <c r="D3" s="24"/>
    </row>
    <row r="4" spans="1:4" ht="54" customHeight="1">
      <c r="A4" s="1" t="s">
        <v>293</v>
      </c>
      <c r="B4" s="31" t="s">
        <v>294</v>
      </c>
      <c r="C4" s="24"/>
      <c r="D4" s="24"/>
    </row>
    <row r="5" spans="1:4" ht="54" customHeight="1">
      <c r="A5" s="1" t="s">
        <v>295</v>
      </c>
      <c r="B5" s="31" t="s">
        <v>296</v>
      </c>
      <c r="C5" s="24"/>
      <c r="D5" s="24"/>
    </row>
    <row r="6" spans="1:4" ht="54" customHeight="1">
      <c r="A6" s="1" t="s">
        <v>297</v>
      </c>
      <c r="B6" s="31" t="s">
        <v>298</v>
      </c>
      <c r="C6" s="24"/>
      <c r="D6" s="24"/>
    </row>
    <row r="7" spans="1:4" ht="54" customHeight="1">
      <c r="A7" s="1" t="s">
        <v>299</v>
      </c>
      <c r="B7" s="31" t="s">
        <v>300</v>
      </c>
      <c r="C7" s="24"/>
      <c r="D7" s="24"/>
    </row>
    <row r="8" spans="1:4" ht="54" customHeight="1">
      <c r="A8" s="1" t="s">
        <v>301</v>
      </c>
      <c r="B8" s="31" t="s">
        <v>302</v>
      </c>
      <c r="C8" s="24"/>
      <c r="D8" s="24"/>
    </row>
    <row r="9" spans="1:4" ht="54" customHeight="1">
      <c r="A9" s="1" t="s">
        <v>303</v>
      </c>
      <c r="B9" s="31" t="s">
        <v>304</v>
      </c>
      <c r="C9" s="24"/>
      <c r="D9" s="24"/>
    </row>
  </sheetData>
  <mergeCells count="1">
    <mergeCell ref="A1:D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摘要趋势</vt:lpstr>
      <vt:lpstr>产品备案明细</vt:lpstr>
      <vt:lpstr>加工厂汇总</vt:lpstr>
      <vt:lpstr>包装链接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 LIU</cp:lastModifiedBy>
  <dcterms:modified xsi:type="dcterms:W3CDTF">2026-08-06T03:21:37Z</dcterms:modified>
</cp:coreProperties>
</file>